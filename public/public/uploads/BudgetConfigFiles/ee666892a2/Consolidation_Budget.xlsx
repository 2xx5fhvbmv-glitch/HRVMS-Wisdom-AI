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hid\Documents\winsdom\"/>
    </mc:Choice>
  </mc:AlternateContent>
  <bookViews>
    <workbookView xWindow="0" yWindow="0" windowWidth="20490" windowHeight="750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8" i="1" l="1"/>
  <c r="AF17" i="1"/>
  <c r="AF16" i="1"/>
  <c r="AF15" i="1"/>
  <c r="AE18" i="1"/>
  <c r="AE17" i="1"/>
  <c r="AE16" i="1"/>
  <c r="AE15" i="1"/>
  <c r="AD17" i="1"/>
  <c r="AD16" i="1"/>
  <c r="AD15" i="1"/>
  <c r="AA16" i="1"/>
  <c r="AA17" i="1"/>
  <c r="AA18" i="1"/>
  <c r="AA15" i="1"/>
  <c r="X18" i="1"/>
  <c r="X16" i="1"/>
  <c r="S18" i="1"/>
  <c r="S17" i="1"/>
  <c r="S16" i="1"/>
  <c r="S15" i="1"/>
  <c r="S5" i="1"/>
  <c r="R16" i="1"/>
  <c r="R17" i="1"/>
  <c r="R18" i="1"/>
  <c r="R15" i="1"/>
  <c r="AD7" i="1"/>
  <c r="AD8" i="1"/>
  <c r="AD9" i="1"/>
  <c r="AD10" i="1"/>
  <c r="AD11" i="1"/>
  <c r="AD6" i="1"/>
  <c r="AD5" i="1"/>
  <c r="S11" i="1"/>
  <c r="AE5" i="1"/>
  <c r="AC5" i="1"/>
  <c r="AC7" i="1"/>
  <c r="AC8" i="1"/>
  <c r="AC9" i="1"/>
  <c r="AC10" i="1"/>
  <c r="AB6" i="1"/>
  <c r="AB7" i="1"/>
  <c r="AB8" i="1"/>
  <c r="AB9" i="1"/>
  <c r="AB10" i="1"/>
  <c r="AB11" i="1"/>
  <c r="AA5" i="1"/>
  <c r="AA6" i="1"/>
  <c r="AA7" i="1"/>
  <c r="AA8" i="1"/>
  <c r="AA9" i="1"/>
  <c r="AA10" i="1"/>
  <c r="AA11" i="1"/>
  <c r="X5" i="1"/>
  <c r="X7" i="1"/>
  <c r="X8" i="1"/>
  <c r="X10" i="1"/>
  <c r="W6" i="1"/>
  <c r="W7" i="1"/>
  <c r="W8" i="1"/>
  <c r="W9" i="1"/>
  <c r="W10" i="1"/>
  <c r="W11" i="1"/>
  <c r="V6" i="1"/>
  <c r="V7" i="1"/>
  <c r="V8" i="1"/>
  <c r="V9" i="1"/>
  <c r="V10" i="1"/>
  <c r="V11" i="1"/>
  <c r="R5" i="1"/>
  <c r="R6" i="1"/>
  <c r="R7" i="1"/>
  <c r="R8" i="1"/>
  <c r="R9" i="1"/>
  <c r="R10" i="1"/>
  <c r="R11" i="1"/>
  <c r="Q5" i="1"/>
  <c r="Q6" i="1"/>
  <c r="Q7" i="1"/>
  <c r="AG7" i="1" s="1"/>
  <c r="Q8" i="1"/>
  <c r="AG8" i="1" s="1"/>
  <c r="Q9" i="1"/>
  <c r="Q10" i="1"/>
  <c r="Q11" i="1"/>
  <c r="P6" i="1"/>
  <c r="P9" i="1"/>
  <c r="P11" i="1"/>
  <c r="H6" i="1"/>
  <c r="H9" i="1"/>
  <c r="H11" i="1"/>
  <c r="AE4" i="1"/>
  <c r="AC4" i="1"/>
  <c r="AA4" i="1"/>
  <c r="S4" i="1"/>
  <c r="R4" i="1"/>
  <c r="Q4" i="1"/>
  <c r="P4" i="1"/>
  <c r="H4" i="1"/>
  <c r="AG49" i="1"/>
  <c r="AG36" i="1"/>
  <c r="AG35" i="1"/>
  <c r="AG37" i="1"/>
  <c r="AG31" i="1"/>
  <c r="AG39" i="1"/>
  <c r="AG40" i="1"/>
  <c r="AG32" i="1"/>
  <c r="AG30" i="1"/>
  <c r="AG29" i="1"/>
  <c r="AG41" i="1"/>
  <c r="AG28" i="1"/>
  <c r="AG25" i="1"/>
  <c r="AG23" i="1"/>
  <c r="AG24" i="1"/>
  <c r="AF49" i="1"/>
  <c r="AE49" i="1"/>
  <c r="AD49" i="1"/>
  <c r="AC49" i="1"/>
  <c r="AB49" i="1"/>
  <c r="AA49" i="1"/>
  <c r="Z49" i="1"/>
  <c r="Y49" i="1"/>
  <c r="X49" i="1"/>
  <c r="AG9" i="1" l="1"/>
  <c r="AG11" i="1"/>
  <c r="AG5" i="1"/>
  <c r="AG4" i="1"/>
  <c r="AG6" i="1"/>
  <c r="AG10" i="1"/>
  <c r="AG27" i="1"/>
  <c r="AG33" i="1"/>
  <c r="AG34" i="1"/>
  <c r="N50" i="1" l="1"/>
  <c r="W49" i="1"/>
  <c r="V49" i="1"/>
  <c r="U49" i="1"/>
  <c r="T49" i="1"/>
  <c r="S49" i="1"/>
  <c r="R49" i="1"/>
  <c r="Q49" i="1"/>
  <c r="P49" i="1"/>
  <c r="O49" i="1"/>
  <c r="M49" i="1"/>
  <c r="L49" i="1"/>
  <c r="K49" i="1"/>
  <c r="K37" i="1"/>
  <c r="W23" i="1"/>
  <c r="J19" i="1"/>
  <c r="I19" i="1"/>
  <c r="H19" i="1"/>
  <c r="G19" i="1"/>
  <c r="F19" i="1"/>
  <c r="K17" i="1"/>
  <c r="AG17" i="1" s="1"/>
  <c r="N16" i="1"/>
  <c r="M16" i="1"/>
  <c r="L16" i="1"/>
  <c r="K16" i="1"/>
  <c r="K15" i="1"/>
  <c r="AG15" i="1" s="1"/>
  <c r="J12" i="1"/>
  <c r="I12" i="1"/>
  <c r="H12" i="1"/>
  <c r="G12" i="1"/>
  <c r="F12" i="1"/>
  <c r="L12" i="1"/>
  <c r="N51" i="1" l="1"/>
  <c r="N52" i="1" s="1"/>
  <c r="AB39" i="1"/>
  <c r="O16" i="1"/>
  <c r="P18" i="1"/>
  <c r="K19" i="1"/>
  <c r="Q16" i="1"/>
  <c r="Q23" i="1"/>
  <c r="V16" i="1"/>
  <c r="Z16" i="1"/>
  <c r="Y16" i="1"/>
  <c r="M22" i="1"/>
  <c r="U19" i="1"/>
  <c r="U25" i="1"/>
  <c r="W16" i="1"/>
  <c r="AD18" i="1"/>
  <c r="Z18" i="1"/>
  <c r="V18" i="1"/>
  <c r="L23" i="1"/>
  <c r="AE30" i="1"/>
  <c r="K34" i="1"/>
  <c r="M36" i="1"/>
  <c r="M37" i="1"/>
  <c r="AF37" i="1"/>
  <c r="X37" i="1"/>
  <c r="K23" i="1"/>
  <c r="K12" i="1"/>
  <c r="M12" i="1"/>
  <c r="V23" i="1"/>
  <c r="O24" i="1"/>
  <c r="M27" i="1"/>
  <c r="L22" i="1"/>
  <c r="L19" i="1"/>
  <c r="L28" i="1"/>
  <c r="R22" i="1"/>
  <c r="Q18" i="1"/>
  <c r="W18" i="1"/>
  <c r="K24" i="1"/>
  <c r="M23" i="1"/>
  <c r="L25" i="1"/>
  <c r="W25" i="1"/>
  <c r="V28" i="1"/>
  <c r="K41" i="1"/>
  <c r="K33" i="1"/>
  <c r="K25" i="1"/>
  <c r="K30" i="1"/>
  <c r="U22" i="1"/>
  <c r="L24" i="1"/>
  <c r="M25" i="1"/>
  <c r="K29" i="1"/>
  <c r="R23" i="1"/>
  <c r="M28" i="1"/>
  <c r="M19" i="1"/>
  <c r="M24" i="1"/>
  <c r="U23" i="1"/>
  <c r="K27" i="1"/>
  <c r="M41" i="1"/>
  <c r="S41" i="1"/>
  <c r="L29" i="1"/>
  <c r="K22" i="1"/>
  <c r="P16" i="1"/>
  <c r="O23" i="1"/>
  <c r="O25" i="1"/>
  <c r="L27" i="1"/>
  <c r="K28" i="1"/>
  <c r="L41" i="1"/>
  <c r="M29" i="1"/>
  <c r="L30" i="1"/>
  <c r="M32" i="1"/>
  <c r="M40" i="1"/>
  <c r="R40" i="1"/>
  <c r="K31" i="1"/>
  <c r="K35" i="1"/>
  <c r="M30" i="1"/>
  <c r="W30" i="1"/>
  <c r="L33" i="1"/>
  <c r="K39" i="1"/>
  <c r="L31" i="1"/>
  <c r="Q34" i="1"/>
  <c r="M33" i="1"/>
  <c r="P40" i="1"/>
  <c r="L39" i="1"/>
  <c r="W39" i="1"/>
  <c r="L34" i="1"/>
  <c r="P37" i="1"/>
  <c r="K32" i="1"/>
  <c r="L32" i="1"/>
  <c r="L40" i="1"/>
  <c r="U40" i="1"/>
  <c r="Q31" i="1"/>
  <c r="K36" i="1"/>
  <c r="K40" i="1"/>
  <c r="P34" i="1"/>
  <c r="R37" i="1"/>
  <c r="M34" i="1"/>
  <c r="M39" i="1"/>
  <c r="T37" i="1"/>
  <c r="L36" i="1"/>
  <c r="M31" i="1"/>
  <c r="L37" i="1"/>
  <c r="Q37" i="1"/>
  <c r="T36" i="1"/>
  <c r="AG16" i="1" l="1"/>
  <c r="AG19" i="1" s="1"/>
  <c r="AG18" i="1"/>
  <c r="Q22" i="1"/>
  <c r="V19" i="1"/>
  <c r="P19" i="1"/>
  <c r="W22" i="1"/>
  <c r="S19" i="1"/>
  <c r="W19" i="1"/>
  <c r="O22" i="1"/>
  <c r="K50" i="1"/>
  <c r="AD12" i="1"/>
  <c r="R12" i="1"/>
  <c r="AG12" i="1"/>
  <c r="AG50" i="1" s="1"/>
  <c r="AC37" i="1"/>
  <c r="X40" i="1"/>
  <c r="AB40" i="1"/>
  <c r="AE33" i="1"/>
  <c r="Y36" i="1"/>
  <c r="AB36" i="1"/>
  <c r="AE36" i="1"/>
  <c r="AB35" i="1"/>
  <c r="AA31" i="1"/>
  <c r="AE39" i="1"/>
  <c r="AD28" i="1"/>
  <c r="AE28" i="1"/>
  <c r="AA19" i="1"/>
  <c r="AA22" i="1"/>
  <c r="AA24" i="1"/>
  <c r="Y25" i="1"/>
  <c r="AC25" i="1"/>
  <c r="X23" i="1"/>
  <c r="AE23" i="1"/>
  <c r="Y39" i="1"/>
  <c r="Z30" i="1"/>
  <c r="AA41" i="1"/>
  <c r="U36" i="1"/>
  <c r="S39" i="1"/>
  <c r="S40" i="1"/>
  <c r="O39" i="1"/>
  <c r="O29" i="1"/>
  <c r="W12" i="1"/>
  <c r="V41" i="1"/>
  <c r="T25" i="1"/>
  <c r="R25" i="1"/>
  <c r="Q25" i="1"/>
  <c r="R24" i="1"/>
  <c r="AE37" i="1"/>
  <c r="Z40" i="1"/>
  <c r="AF40" i="1"/>
  <c r="AA33" i="1"/>
  <c r="AC36" i="1"/>
  <c r="AD31" i="1"/>
  <c r="AB31" i="1"/>
  <c r="Y33" i="1"/>
  <c r="Z32" i="1"/>
  <c r="Z28" i="1"/>
  <c r="X12" i="1"/>
  <c r="AC12" i="1"/>
  <c r="AB19" i="1"/>
  <c r="AB22" i="1"/>
  <c r="AB24" i="1"/>
  <c r="AC24" i="1"/>
  <c r="X25" i="1"/>
  <c r="AE25" i="1"/>
  <c r="AC23" i="1"/>
  <c r="AD39" i="1"/>
  <c r="Y30" i="1"/>
  <c r="AB41" i="1"/>
  <c r="AC32" i="1"/>
  <c r="P24" i="1"/>
  <c r="T28" i="1"/>
  <c r="P28" i="1"/>
  <c r="V25" i="1"/>
  <c r="S25" i="1"/>
  <c r="AD37" i="1"/>
  <c r="Y40" i="1"/>
  <c r="AE40" i="1"/>
  <c r="Z36" i="1"/>
  <c r="Y37" i="1"/>
  <c r="Y31" i="1"/>
  <c r="AF31" i="1"/>
  <c r="AC33" i="1"/>
  <c r="Y32" i="1"/>
  <c r="AF32" i="1"/>
  <c r="Y28" i="1"/>
  <c r="Y12" i="1"/>
  <c r="AF12" i="1"/>
  <c r="AD22" i="1"/>
  <c r="AD19" i="1"/>
  <c r="AF24" i="1"/>
  <c r="Z25" i="1"/>
  <c r="AF25" i="1"/>
  <c r="AB23" i="1"/>
  <c r="Z39" i="1"/>
  <c r="AA30" i="1"/>
  <c r="AD41" i="1"/>
  <c r="AC41" i="1"/>
  <c r="V40" i="1"/>
  <c r="V30" i="1"/>
  <c r="S33" i="1"/>
  <c r="AE35" i="1"/>
  <c r="AF35" i="1"/>
  <c r="Y35" i="1"/>
  <c r="AD35" i="1"/>
  <c r="AC35" i="1"/>
  <c r="X35" i="1"/>
  <c r="R28" i="1"/>
  <c r="S22" i="1"/>
  <c r="O27" i="1"/>
  <c r="AA40" i="1"/>
  <c r="AD33" i="1"/>
  <c r="AD36" i="1"/>
  <c r="Z31" i="1"/>
  <c r="AE31" i="1"/>
  <c r="AF39" i="1"/>
  <c r="AA32" i="1"/>
  <c r="AF30" i="1"/>
  <c r="AB28" i="1"/>
  <c r="AB12" i="1"/>
  <c r="AE12" i="1"/>
  <c r="Y19" i="1"/>
  <c r="Y22" i="1"/>
  <c r="AC19" i="1"/>
  <c r="AC22" i="1"/>
  <c r="X24" i="1"/>
  <c r="AE24" i="1"/>
  <c r="AA25" i="1"/>
  <c r="AD23" i="1"/>
  <c r="X39" i="1"/>
  <c r="AC30" i="1"/>
  <c r="Y41" i="1"/>
  <c r="AE41" i="1"/>
  <c r="Q28" i="1"/>
  <c r="P39" i="1"/>
  <c r="L35" i="1"/>
  <c r="Q30" i="1"/>
  <c r="M50" i="1"/>
  <c r="T40" i="1"/>
  <c r="T39" i="1"/>
  <c r="O28" i="1"/>
  <c r="W28" i="1"/>
  <c r="T31" i="1"/>
  <c r="U31" i="1"/>
  <c r="O40" i="1"/>
  <c r="Q33" i="1"/>
  <c r="M35" i="1"/>
  <c r="M43" i="1" s="1"/>
  <c r="W40" i="1"/>
  <c r="V37" i="1"/>
  <c r="R30" i="1"/>
  <c r="T41" i="1"/>
  <c r="V22" i="1"/>
  <c r="S24" i="1"/>
  <c r="V12" i="1"/>
  <c r="Q19" i="1"/>
  <c r="O12" i="1"/>
  <c r="AA37" i="1"/>
  <c r="AC40" i="1"/>
  <c r="X33" i="1"/>
  <c r="AB33" i="1"/>
  <c r="AF36" i="1"/>
  <c r="Z35" i="1"/>
  <c r="AA35" i="1"/>
  <c r="X31" i="1"/>
  <c r="AB32" i="1"/>
  <c r="AA28" i="1"/>
  <c r="AC28" i="1"/>
  <c r="Z12" i="1"/>
  <c r="Z22" i="1"/>
  <c r="Z19" i="1"/>
  <c r="AE22" i="1"/>
  <c r="AE19" i="1"/>
  <c r="Z24" i="1"/>
  <c r="AB25" i="1"/>
  <c r="Y23" i="1"/>
  <c r="AA23" i="1"/>
  <c r="AD30" i="1"/>
  <c r="Z41" i="1"/>
  <c r="AF41" i="1"/>
  <c r="X32" i="1"/>
  <c r="W31" i="1"/>
  <c r="O37" i="1"/>
  <c r="U37" i="1"/>
  <c r="O31" i="1"/>
  <c r="V31" i="1"/>
  <c r="P31" i="1"/>
  <c r="W33" i="1"/>
  <c r="P33" i="1"/>
  <c r="T32" i="1"/>
  <c r="R39" i="1"/>
  <c r="P25" i="1"/>
  <c r="O19" i="1"/>
  <c r="P41" i="1"/>
  <c r="S28" i="1"/>
  <c r="T24" i="1"/>
  <c r="U24" i="1"/>
  <c r="AD40" i="1"/>
  <c r="Z33" i="1"/>
  <c r="AF33" i="1"/>
  <c r="X36" i="1"/>
  <c r="AA36" i="1"/>
  <c r="Z37" i="1"/>
  <c r="AB37" i="1"/>
  <c r="AC31" i="1"/>
  <c r="AA39" i="1"/>
  <c r="AD32" i="1"/>
  <c r="X28" i="1"/>
  <c r="AF28" i="1"/>
  <c r="AA12" i="1"/>
  <c r="X19" i="1"/>
  <c r="X22" i="1"/>
  <c r="AF19" i="1"/>
  <c r="AF22" i="1"/>
  <c r="AD24" i="1"/>
  <c r="Y24" i="1"/>
  <c r="AE32" i="1"/>
  <c r="AD25" i="1"/>
  <c r="Z23" i="1"/>
  <c r="AF23" i="1"/>
  <c r="AC39" i="1"/>
  <c r="X30" i="1"/>
  <c r="AB30" i="1"/>
  <c r="X41" i="1"/>
  <c r="S35" i="1"/>
  <c r="P36" i="1"/>
  <c r="S31" i="1"/>
  <c r="Q36" i="1"/>
  <c r="T30" i="1"/>
  <c r="R31" i="1"/>
  <c r="V32" i="1"/>
  <c r="R41" i="1"/>
  <c r="W36" i="1"/>
  <c r="W37" i="1"/>
  <c r="Q39" i="1"/>
  <c r="V33" i="1"/>
  <c r="O34" i="1"/>
  <c r="Q32" i="1"/>
  <c r="O41" i="1"/>
  <c r="Q41" i="1"/>
  <c r="U28" i="1"/>
  <c r="U12" i="1"/>
  <c r="O36" i="1"/>
  <c r="R36" i="1"/>
  <c r="U39" i="1"/>
  <c r="O33" i="1"/>
  <c r="Q40" i="1"/>
  <c r="W32" i="1"/>
  <c r="U41" i="1"/>
  <c r="P29" i="1"/>
  <c r="S23" i="1"/>
  <c r="P27" i="1"/>
  <c r="P30" i="1"/>
  <c r="W35" i="1"/>
  <c r="P35" i="1"/>
  <c r="O32" i="1"/>
  <c r="R32" i="1"/>
  <c r="T19" i="1"/>
  <c r="W24" i="1"/>
  <c r="R19" i="1"/>
  <c r="Q24" i="1"/>
  <c r="T22" i="1"/>
  <c r="V24" i="1"/>
  <c r="S36" i="1"/>
  <c r="U33" i="1"/>
  <c r="U30" i="1"/>
  <c r="R33" i="1"/>
  <c r="S30" i="1"/>
  <c r="U32" i="1"/>
  <c r="P22" i="1"/>
  <c r="T23" i="1"/>
  <c r="T12" i="1"/>
  <c r="S37" i="1"/>
  <c r="V36" i="1"/>
  <c r="V39" i="1"/>
  <c r="O30" i="1"/>
  <c r="S32" i="1"/>
  <c r="P32" i="1"/>
  <c r="W41" i="1"/>
  <c r="P23" i="1"/>
  <c r="K43" i="1"/>
  <c r="K45" i="1" s="1"/>
  <c r="P12" i="1"/>
  <c r="S12" i="1"/>
  <c r="T33" i="1"/>
  <c r="V35" i="1"/>
  <c r="Q12" i="1"/>
  <c r="L43" i="1"/>
  <c r="AG22" i="1" l="1"/>
  <c r="AG43" i="1" s="1"/>
  <c r="Q29" i="1"/>
  <c r="O35" i="1"/>
  <c r="O43" i="1" s="1"/>
  <c r="P43" i="1"/>
  <c r="R34" i="1"/>
  <c r="T35" i="1"/>
  <c r="Q35" i="1"/>
  <c r="U35" i="1"/>
  <c r="R35" i="1"/>
  <c r="Q27" i="1"/>
  <c r="L50" i="1"/>
  <c r="Q43" i="1" l="1"/>
  <c r="P50" i="1"/>
  <c r="O50" i="1"/>
  <c r="Q50" i="1"/>
  <c r="S34" i="1"/>
  <c r="R27" i="1"/>
  <c r="R29" i="1"/>
  <c r="R43" i="1" l="1"/>
  <c r="R50" i="1"/>
  <c r="T34" i="1"/>
  <c r="S27" i="1"/>
  <c r="S29" i="1"/>
  <c r="S50" i="1" l="1"/>
  <c r="T29" i="1"/>
  <c r="U34" i="1"/>
  <c r="T27" i="1"/>
  <c r="T43" i="1" s="1"/>
  <c r="S43" i="1"/>
  <c r="T50" i="1" l="1"/>
  <c r="U29" i="1"/>
  <c r="U27" i="1"/>
  <c r="V34" i="1"/>
  <c r="X34" i="1" l="1"/>
  <c r="U50" i="1"/>
  <c r="V27" i="1"/>
  <c r="W34" i="1"/>
  <c r="V29" i="1"/>
  <c r="U43" i="1"/>
  <c r="X29" i="1" l="1"/>
  <c r="X27" i="1"/>
  <c r="Y34" i="1"/>
  <c r="W29" i="1"/>
  <c r="W27" i="1"/>
  <c r="W43" i="1" s="1"/>
  <c r="V43" i="1"/>
  <c r="X50" i="1" l="1"/>
  <c r="Z34" i="1"/>
  <c r="Y29" i="1"/>
  <c r="V50" i="1"/>
  <c r="Y27" i="1"/>
  <c r="Y43" i="1" s="1"/>
  <c r="X43" i="1"/>
  <c r="W50" i="1"/>
  <c r="Y50" i="1" l="1"/>
  <c r="Z29" i="1"/>
  <c r="Z27" i="1"/>
  <c r="AA34" i="1"/>
  <c r="Z50" i="1" l="1"/>
  <c r="AA27" i="1"/>
  <c r="AB34" i="1"/>
  <c r="AA29" i="1"/>
  <c r="Z43" i="1"/>
  <c r="AA50" i="1" l="1"/>
  <c r="AC34" i="1"/>
  <c r="AB29" i="1"/>
  <c r="AB27" i="1"/>
  <c r="AB43" i="1" s="1"/>
  <c r="AA43" i="1"/>
  <c r="AC29" i="1" l="1"/>
  <c r="AC27" i="1"/>
  <c r="AD34" i="1"/>
  <c r="AC43" i="1" l="1"/>
  <c r="AD27" i="1"/>
  <c r="AD29" i="1"/>
  <c r="AE34" i="1"/>
  <c r="AB50" i="1"/>
  <c r="AD50" i="1" l="1"/>
  <c r="AD43" i="1"/>
  <c r="AE29" i="1"/>
  <c r="AF34" i="1"/>
  <c r="AC50" i="1"/>
  <c r="AE27" i="1"/>
  <c r="AE43" i="1" s="1"/>
  <c r="AE50" i="1" l="1"/>
  <c r="AF29" i="1"/>
  <c r="AF27" i="1"/>
  <c r="AF43" i="1" s="1"/>
  <c r="AF50" i="1" l="1"/>
</calcChain>
</file>

<file path=xl/sharedStrings.xml><?xml version="1.0" encoding="utf-8"?>
<sst xmlns="http://schemas.openxmlformats.org/spreadsheetml/2006/main" count="107" uniqueCount="83">
  <si>
    <t>STAT</t>
  </si>
  <si>
    <t>DESIGNATION</t>
  </si>
  <si>
    <t>RANK</t>
  </si>
  <si>
    <t>NATION</t>
  </si>
  <si>
    <t>MALE OFFICE</t>
  </si>
  <si>
    <t>OB</t>
  </si>
  <si>
    <t>Consultant (Owners Representative)</t>
  </si>
  <si>
    <t>Maldivian</t>
  </si>
  <si>
    <t>V</t>
  </si>
  <si>
    <t>Company Secretary</t>
  </si>
  <si>
    <t>Office Assistant</t>
  </si>
  <si>
    <t>Purchasing executive</t>
  </si>
  <si>
    <t>Logistics Executive</t>
  </si>
  <si>
    <t>Customs Coordinator</t>
  </si>
  <si>
    <t xml:space="preserve">Male' Office Administrator </t>
  </si>
  <si>
    <t>Assistant Accountant/Accountant</t>
  </si>
  <si>
    <t>Srilankan</t>
  </si>
  <si>
    <t>ADMINISTRATION</t>
  </si>
  <si>
    <t>General Manager</t>
  </si>
  <si>
    <t>Island Manager</t>
  </si>
  <si>
    <t>Safety and Security Manager</t>
  </si>
  <si>
    <t>Office Administrator (Executive)</t>
  </si>
  <si>
    <t>Indian</t>
  </si>
  <si>
    <t>Sri Lankan</t>
  </si>
  <si>
    <t>HOD</t>
  </si>
  <si>
    <t>Bangladeshi</t>
  </si>
  <si>
    <t>Admin &amp; General</t>
  </si>
  <si>
    <t>IT</t>
  </si>
  <si>
    <t>Finance</t>
  </si>
  <si>
    <t>Human Resources</t>
  </si>
  <si>
    <t>Security</t>
  </si>
  <si>
    <t>Front Office</t>
  </si>
  <si>
    <t>Culinary</t>
  </si>
  <si>
    <t>Food &amp; Beverage</t>
  </si>
  <si>
    <t xml:space="preserve">Spa </t>
  </si>
  <si>
    <t>Landscaping</t>
  </si>
  <si>
    <t>Engineering</t>
  </si>
  <si>
    <t>Housekeeping</t>
  </si>
  <si>
    <t>Sales &amp; Marketing</t>
  </si>
  <si>
    <t>Transport/Marine</t>
  </si>
  <si>
    <t>Supply Boat</t>
  </si>
  <si>
    <t>Reservation</t>
  </si>
  <si>
    <t>Boutique</t>
  </si>
  <si>
    <t>Public Area</t>
  </si>
  <si>
    <t>Laundry</t>
  </si>
  <si>
    <t>Staff Kitchen</t>
  </si>
  <si>
    <t>External securities</t>
  </si>
  <si>
    <t>Total</t>
  </si>
  <si>
    <t>CNTRL</t>
  </si>
  <si>
    <t>Name (Not required for Budget)</t>
  </si>
  <si>
    <t>Current Salary</t>
  </si>
  <si>
    <t>Proposed Salary 2025</t>
  </si>
  <si>
    <t>GM</t>
  </si>
  <si>
    <t>EXCOM</t>
  </si>
  <si>
    <t>MGR</t>
  </si>
  <si>
    <t>SUP</t>
  </si>
  <si>
    <t>United Kingdom</t>
  </si>
  <si>
    <t>QUOTA Fee</t>
  </si>
  <si>
    <t>Recruitment Fee</t>
  </si>
  <si>
    <t>Arrival ticket</t>
  </si>
  <si>
    <t>Expat Insurance</t>
  </si>
  <si>
    <t>Medical Fee</t>
  </si>
  <si>
    <t>TMA / Boat</t>
  </si>
  <si>
    <t>Accomodation in Male</t>
  </si>
  <si>
    <t>Relocation / Luggage Allowance</t>
  </si>
  <si>
    <t>Recruitment Expenses</t>
  </si>
  <si>
    <t>Visa fee</t>
  </si>
  <si>
    <t>Medical Insurance</t>
  </si>
  <si>
    <t>Annual Leave Accrual</t>
  </si>
  <si>
    <t>R&amp;R Allowance</t>
  </si>
  <si>
    <t>Annual ticket- Inter</t>
  </si>
  <si>
    <t>Annual ticket - Domes</t>
  </si>
  <si>
    <t>Overtime / Normal</t>
  </si>
  <si>
    <t>Overtime / PH</t>
  </si>
  <si>
    <t>Pension / Employer Contribution</t>
  </si>
  <si>
    <t>Language Allowance</t>
  </si>
  <si>
    <t>Fire Brigade Allowance</t>
  </si>
  <si>
    <t>Food Cost / Canteen</t>
  </si>
  <si>
    <t>Domestic TMA</t>
  </si>
  <si>
    <t>Ramadan Bonus</t>
  </si>
  <si>
    <t>KPI / year End Bonus</t>
  </si>
  <si>
    <t>Store / Steward Allowance</t>
  </si>
  <si>
    <t>Phone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</si>
</sst>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Times New Roman"/>
      <family val="1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name val="Trebuchet MS"/>
      <family val="2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8C2C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43" fontId="17" fillId="0" borderId="0" applyFont="0" applyFill="0" applyBorder="0" applyAlignment="0" applyProtection="0"/>
  </cellStyleXfs>
  <cellXfs count="116">
    <xf numFmtId="0" fontId="0" fillId="0" borderId="0" xfId="0"/>
    <xf numFmtId="0" fontId="5" fillId="0" borderId="0" xfId="2" applyFont="1" applyAlignment="1">
      <alignment horizontal="center"/>
    </xf>
    <xf numFmtId="0" fontId="5" fillId="0" borderId="0" xfId="2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43" fontId="5" fillId="0" borderId="0" xfId="2" applyNumberFormat="1" applyFont="1" applyAlignment="1">
      <alignment horizontal="center" vertical="center"/>
    </xf>
    <xf numFmtId="43" fontId="8" fillId="0" borderId="0" xfId="2" applyNumberFormat="1" applyFont="1" applyAlignment="1">
      <alignment horizontal="center" vertical="center"/>
    </xf>
    <xf numFmtId="0" fontId="1" fillId="0" borderId="0" xfId="3"/>
    <xf numFmtId="0" fontId="5" fillId="2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left" vertical="center" wrapText="1"/>
    </xf>
    <xf numFmtId="43" fontId="5" fillId="2" borderId="2" xfId="2" applyNumberFormat="1" applyFont="1" applyFill="1" applyBorder="1" applyAlignment="1">
      <alignment horizontal="center" vertical="center" wrapText="1"/>
    </xf>
    <xf numFmtId="43" fontId="8" fillId="2" borderId="2" xfId="2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/>
    </xf>
    <xf numFmtId="0" fontId="11" fillId="3" borderId="3" xfId="3" applyFont="1" applyFill="1" applyBorder="1" applyAlignment="1">
      <alignment horizontal="center" vertical="center"/>
    </xf>
    <xf numFmtId="0" fontId="11" fillId="3" borderId="4" xfId="3" applyFont="1" applyFill="1" applyBorder="1" applyAlignment="1">
      <alignment horizontal="center" vertical="center"/>
    </xf>
    <xf numFmtId="0" fontId="11" fillId="3" borderId="4" xfId="3" applyFont="1" applyFill="1" applyBorder="1" applyAlignment="1">
      <alignment horizontal="center" vertical="center" wrapText="1"/>
    </xf>
    <xf numFmtId="0" fontId="9" fillId="3" borderId="4" xfId="3" applyFont="1" applyFill="1" applyBorder="1" applyAlignment="1">
      <alignment horizontal="left" vertical="center" wrapText="1"/>
    </xf>
    <xf numFmtId="43" fontId="11" fillId="3" borderId="4" xfId="3" applyNumberFormat="1" applyFont="1" applyFill="1" applyBorder="1" applyAlignment="1">
      <alignment horizontal="center" vertical="center" wrapText="1"/>
    </xf>
    <xf numFmtId="43" fontId="11" fillId="4" borderId="4" xfId="3" applyNumberFormat="1" applyFont="1" applyFill="1" applyBorder="1" applyAlignment="1">
      <alignment horizontal="center" vertical="center" wrapText="1"/>
    </xf>
    <xf numFmtId="43" fontId="12" fillId="4" borderId="4" xfId="3" applyNumberFormat="1" applyFont="1" applyFill="1" applyBorder="1" applyAlignment="1">
      <alignment horizontal="center" vertical="center" wrapText="1"/>
    </xf>
    <xf numFmtId="0" fontId="13" fillId="5" borderId="5" xfId="3" applyFont="1" applyFill="1" applyBorder="1" applyAlignment="1">
      <alignment horizontal="center"/>
    </xf>
    <xf numFmtId="0" fontId="13" fillId="5" borderId="6" xfId="3" applyFont="1" applyFill="1" applyBorder="1" applyAlignment="1">
      <alignment horizontal="left" vertical="center" wrapText="1"/>
    </xf>
    <xf numFmtId="164" fontId="14" fillId="5" borderId="6" xfId="0" quotePrefix="1" applyNumberFormat="1" applyFont="1" applyFill="1" applyBorder="1" applyAlignment="1">
      <alignment horizontal="center" vertical="center"/>
    </xf>
    <xf numFmtId="164" fontId="7" fillId="5" borderId="6" xfId="0" quotePrefix="1" applyNumberFormat="1" applyFont="1" applyFill="1" applyBorder="1" applyAlignment="1">
      <alignment horizontal="left" vertical="center"/>
    </xf>
    <xf numFmtId="0" fontId="7" fillId="5" borderId="6" xfId="3" applyFont="1" applyFill="1" applyBorder="1" applyAlignment="1">
      <alignment horizontal="center" vertical="center" wrapText="1"/>
    </xf>
    <xf numFmtId="43" fontId="13" fillId="5" borderId="6" xfId="3" applyNumberFormat="1" applyFont="1" applyFill="1" applyBorder="1" applyAlignment="1">
      <alignment horizontal="center" vertical="center" wrapText="1"/>
    </xf>
    <xf numFmtId="43" fontId="15" fillId="0" borderId="6" xfId="3" applyNumberFormat="1" applyFont="1" applyBorder="1" applyAlignment="1">
      <alignment horizontal="center" vertical="center" wrapText="1"/>
    </xf>
    <xf numFmtId="0" fontId="13" fillId="5" borderId="7" xfId="3" applyFont="1" applyFill="1" applyBorder="1" applyAlignment="1">
      <alignment horizontal="center"/>
    </xf>
    <xf numFmtId="0" fontId="13" fillId="5" borderId="8" xfId="3" applyFont="1" applyFill="1" applyBorder="1" applyAlignment="1">
      <alignment horizontal="left" vertical="center" wrapText="1"/>
    </xf>
    <xf numFmtId="164" fontId="14" fillId="5" borderId="8" xfId="0" quotePrefix="1" applyNumberFormat="1" applyFont="1" applyFill="1" applyBorder="1" applyAlignment="1">
      <alignment horizontal="center" vertical="center"/>
    </xf>
    <xf numFmtId="164" fontId="7" fillId="5" borderId="8" xfId="0" quotePrefix="1" applyNumberFormat="1" applyFont="1" applyFill="1" applyBorder="1" applyAlignment="1">
      <alignment horizontal="left" vertical="center"/>
    </xf>
    <xf numFmtId="43" fontId="13" fillId="5" borderId="8" xfId="3" applyNumberFormat="1" applyFont="1" applyFill="1" applyBorder="1" applyAlignment="1">
      <alignment horizontal="center" vertical="center" wrapText="1"/>
    </xf>
    <xf numFmtId="43" fontId="15" fillId="0" borderId="8" xfId="3" applyNumberFormat="1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/>
    </xf>
    <xf numFmtId="0" fontId="13" fillId="0" borderId="8" xfId="3" applyFont="1" applyBorder="1" applyAlignment="1">
      <alignment horizontal="left" vertical="center" wrapText="1"/>
    </xf>
    <xf numFmtId="164" fontId="14" fillId="0" borderId="8" xfId="0" quotePrefix="1" applyNumberFormat="1" applyFont="1" applyBorder="1" applyAlignment="1">
      <alignment horizontal="center" vertical="center"/>
    </xf>
    <xf numFmtId="164" fontId="7" fillId="0" borderId="8" xfId="0" quotePrefix="1" applyNumberFormat="1" applyFont="1" applyBorder="1" applyAlignment="1">
      <alignment horizontal="left" vertical="center"/>
    </xf>
    <xf numFmtId="0" fontId="7" fillId="0" borderId="8" xfId="3" applyFont="1" applyBorder="1" applyAlignment="1">
      <alignment horizontal="center" vertical="center" wrapText="1"/>
    </xf>
    <xf numFmtId="43" fontId="13" fillId="0" borderId="8" xfId="3" applyNumberFormat="1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/>
    </xf>
    <xf numFmtId="0" fontId="13" fillId="0" borderId="10" xfId="3" applyFont="1" applyBorder="1" applyAlignment="1">
      <alignment horizontal="left" vertical="center" wrapText="1"/>
    </xf>
    <xf numFmtId="164" fontId="7" fillId="0" borderId="10" xfId="0" quotePrefix="1" applyNumberFormat="1" applyFont="1" applyBorder="1" applyAlignment="1">
      <alignment horizontal="left" vertical="center"/>
    </xf>
    <xf numFmtId="0" fontId="7" fillId="0" borderId="10" xfId="3" applyFont="1" applyBorder="1" applyAlignment="1">
      <alignment horizontal="center" vertical="center" wrapText="1"/>
    </xf>
    <xf numFmtId="43" fontId="13" fillId="0" borderId="10" xfId="3" applyNumberFormat="1" applyFont="1" applyBorder="1" applyAlignment="1">
      <alignment horizontal="center" vertical="center" wrapText="1"/>
    </xf>
    <xf numFmtId="43" fontId="15" fillId="0" borderId="10" xfId="3" applyNumberFormat="1" applyFont="1" applyBorder="1" applyAlignment="1">
      <alignment horizontal="center" vertical="center" wrapText="1"/>
    </xf>
    <xf numFmtId="0" fontId="11" fillId="2" borderId="12" xfId="3" applyFont="1" applyFill="1" applyBorder="1" applyAlignment="1">
      <alignment horizontal="center"/>
    </xf>
    <xf numFmtId="0" fontId="11" fillId="2" borderId="13" xfId="3" applyFont="1" applyFill="1" applyBorder="1" applyAlignment="1">
      <alignment horizontal="left" vertical="center" wrapText="1"/>
    </xf>
    <xf numFmtId="0" fontId="16" fillId="2" borderId="13" xfId="3" applyFont="1" applyFill="1" applyBorder="1" applyAlignment="1">
      <alignment horizontal="center"/>
    </xf>
    <xf numFmtId="0" fontId="9" fillId="2" borderId="13" xfId="3" applyFont="1" applyFill="1" applyBorder="1" applyAlignment="1">
      <alignment horizontal="left"/>
    </xf>
    <xf numFmtId="0" fontId="11" fillId="2" borderId="13" xfId="3" applyFont="1" applyFill="1" applyBorder="1" applyAlignment="1">
      <alignment horizontal="center" vertical="center" wrapText="1"/>
    </xf>
    <xf numFmtId="43" fontId="11" fillId="2" borderId="13" xfId="3" applyNumberFormat="1" applyFont="1" applyFill="1" applyBorder="1" applyAlignment="1">
      <alignment horizontal="center" vertical="center" wrapText="1"/>
    </xf>
    <xf numFmtId="43" fontId="12" fillId="2" borderId="13" xfId="3" applyNumberFormat="1" applyFont="1" applyFill="1" applyBorder="1" applyAlignment="1">
      <alignment horizontal="center" vertical="center" wrapText="1"/>
    </xf>
    <xf numFmtId="0" fontId="3" fillId="0" borderId="0" xfId="3" applyFont="1"/>
    <xf numFmtId="0" fontId="3" fillId="6" borderId="0" xfId="3" applyFont="1" applyFill="1"/>
    <xf numFmtId="0" fontId="6" fillId="2" borderId="14" xfId="3" applyFont="1" applyFill="1" applyBorder="1" applyAlignment="1">
      <alignment horizontal="center"/>
    </xf>
    <xf numFmtId="0" fontId="6" fillId="2" borderId="15" xfId="3" applyFont="1" applyFill="1" applyBorder="1"/>
    <xf numFmtId="0" fontId="6" fillId="2" borderId="15" xfId="3" applyFont="1" applyFill="1" applyBorder="1" applyAlignment="1">
      <alignment horizontal="center"/>
    </xf>
    <xf numFmtId="0" fontId="7" fillId="2" borderId="15" xfId="3" applyFont="1" applyFill="1" applyBorder="1" applyAlignment="1">
      <alignment horizontal="left"/>
    </xf>
    <xf numFmtId="43" fontId="6" fillId="2" borderId="15" xfId="3" applyNumberFormat="1" applyFont="1" applyFill="1" applyBorder="1" applyAlignment="1">
      <alignment horizontal="center" vertical="center"/>
    </xf>
    <xf numFmtId="43" fontId="2" fillId="2" borderId="15" xfId="3" applyNumberFormat="1" applyFont="1" applyFill="1" applyBorder="1" applyAlignment="1">
      <alignment horizontal="center" vertical="center"/>
    </xf>
    <xf numFmtId="0" fontId="11" fillId="4" borderId="3" xfId="3" applyFont="1" applyFill="1" applyBorder="1" applyAlignment="1">
      <alignment horizontal="center" vertical="center"/>
    </xf>
    <xf numFmtId="0" fontId="11" fillId="4" borderId="4" xfId="3" applyFont="1" applyFill="1" applyBorder="1" applyAlignment="1">
      <alignment horizontal="center" vertical="center"/>
    </xf>
    <xf numFmtId="0" fontId="6" fillId="4" borderId="13" xfId="3" applyFont="1" applyFill="1" applyBorder="1" applyAlignment="1">
      <alignment horizontal="center"/>
    </xf>
    <xf numFmtId="0" fontId="7" fillId="4" borderId="13" xfId="3" applyFont="1" applyFill="1" applyBorder="1" applyAlignment="1">
      <alignment horizontal="left"/>
    </xf>
    <xf numFmtId="0" fontId="11" fillId="4" borderId="13" xfId="3" applyFont="1" applyFill="1" applyBorder="1" applyAlignment="1">
      <alignment horizontal="center" vertical="center" wrapText="1"/>
    </xf>
    <xf numFmtId="43" fontId="11" fillId="4" borderId="13" xfId="3" applyNumberFormat="1" applyFont="1" applyFill="1" applyBorder="1" applyAlignment="1">
      <alignment horizontal="center" vertical="center" wrapText="1"/>
    </xf>
    <xf numFmtId="43" fontId="12" fillId="4" borderId="13" xfId="3" applyNumberFormat="1" applyFont="1" applyFill="1" applyBorder="1" applyAlignment="1">
      <alignment horizontal="center" vertical="center" wrapText="1"/>
    </xf>
    <xf numFmtId="0" fontId="13" fillId="0" borderId="16" xfId="3" applyFont="1" applyBorder="1" applyAlignment="1">
      <alignment horizontal="center"/>
    </xf>
    <xf numFmtId="0" fontId="13" fillId="0" borderId="17" xfId="3" applyFont="1" applyBorder="1" applyAlignment="1">
      <alignment horizontal="left" vertical="center" wrapText="1"/>
    </xf>
    <xf numFmtId="164" fontId="14" fillId="0" borderId="17" xfId="0" quotePrefix="1" applyNumberFormat="1" applyFont="1" applyBorder="1" applyAlignment="1">
      <alignment horizontal="center" vertical="center"/>
    </xf>
    <xf numFmtId="164" fontId="7" fillId="0" borderId="17" xfId="0" quotePrefix="1" applyNumberFormat="1" applyFont="1" applyBorder="1" applyAlignment="1">
      <alignment horizontal="left" vertical="center"/>
    </xf>
    <xf numFmtId="0" fontId="7" fillId="0" borderId="17" xfId="3" applyFont="1" applyBorder="1" applyAlignment="1">
      <alignment horizontal="center" vertical="center" wrapText="1"/>
    </xf>
    <xf numFmtId="43" fontId="13" fillId="0" borderId="17" xfId="3" applyNumberFormat="1" applyFont="1" applyBorder="1" applyAlignment="1">
      <alignment horizontal="center" vertical="center" wrapText="1"/>
    </xf>
    <xf numFmtId="43" fontId="15" fillId="0" borderId="17" xfId="3" applyNumberFormat="1" applyFont="1" applyBorder="1" applyAlignment="1">
      <alignment horizontal="center" vertical="center" wrapText="1"/>
    </xf>
    <xf numFmtId="165" fontId="13" fillId="0" borderId="8" xfId="4" applyNumberFormat="1" applyFont="1" applyFill="1" applyBorder="1" applyAlignment="1"/>
    <xf numFmtId="43" fontId="13" fillId="0" borderId="8" xfId="4" applyFont="1" applyFill="1" applyBorder="1" applyAlignment="1" applyProtection="1">
      <alignment horizontal="center" vertical="center"/>
      <protection locked="0"/>
    </xf>
    <xf numFmtId="43" fontId="15" fillId="0" borderId="8" xfId="4" applyFont="1" applyFill="1" applyBorder="1" applyAlignment="1" applyProtection="1">
      <alignment horizontal="center" vertical="center"/>
      <protection locked="0"/>
    </xf>
    <xf numFmtId="0" fontId="2" fillId="0" borderId="0" xfId="3" applyFont="1"/>
    <xf numFmtId="164" fontId="14" fillId="5" borderId="10" xfId="0" quotePrefix="1" applyNumberFormat="1" applyFont="1" applyFill="1" applyBorder="1" applyAlignment="1">
      <alignment horizontal="center" vertical="center"/>
    </xf>
    <xf numFmtId="164" fontId="7" fillId="5" borderId="10" xfId="0" quotePrefix="1" applyNumberFormat="1" applyFont="1" applyFill="1" applyBorder="1" applyAlignment="1">
      <alignment horizontal="left" vertical="center"/>
    </xf>
    <xf numFmtId="0" fontId="11" fillId="2" borderId="0" xfId="3" applyFont="1" applyFill="1" applyAlignment="1">
      <alignment horizontal="center"/>
    </xf>
    <xf numFmtId="0" fontId="11" fillId="2" borderId="0" xfId="3" applyFont="1" applyFill="1" applyAlignment="1">
      <alignment horizontal="left" vertical="center" wrapText="1"/>
    </xf>
    <xf numFmtId="0" fontId="16" fillId="2" borderId="0" xfId="3" applyFont="1" applyFill="1" applyAlignment="1">
      <alignment horizontal="center"/>
    </xf>
    <xf numFmtId="0" fontId="9" fillId="2" borderId="0" xfId="3" applyFont="1" applyFill="1" applyAlignment="1">
      <alignment horizontal="left"/>
    </xf>
    <xf numFmtId="0" fontId="11" fillId="2" borderId="0" xfId="3" applyFont="1" applyFill="1" applyAlignment="1">
      <alignment horizontal="center" vertical="center" wrapText="1"/>
    </xf>
    <xf numFmtId="43" fontId="11" fillId="2" borderId="0" xfId="3" applyNumberFormat="1" applyFont="1" applyFill="1" applyAlignment="1">
      <alignment horizontal="center" vertical="center" wrapText="1"/>
    </xf>
    <xf numFmtId="43" fontId="12" fillId="2" borderId="0" xfId="3" applyNumberFormat="1" applyFont="1" applyFill="1" applyAlignment="1">
      <alignment horizontal="center" vertical="center" wrapText="1"/>
    </xf>
    <xf numFmtId="0" fontId="13" fillId="2" borderId="0" xfId="3" applyFont="1" applyFill="1" applyAlignment="1">
      <alignment horizontal="center"/>
    </xf>
    <xf numFmtId="0" fontId="13" fillId="2" borderId="0" xfId="3" applyFont="1" applyFill="1" applyAlignment="1">
      <alignment horizontal="left" vertical="center" wrapText="1"/>
    </xf>
    <xf numFmtId="0" fontId="6" fillId="2" borderId="0" xfId="3" applyFont="1" applyFill="1" applyAlignment="1">
      <alignment horizontal="center"/>
    </xf>
    <xf numFmtId="0" fontId="7" fillId="2" borderId="0" xfId="3" applyFont="1" applyFill="1" applyAlignment="1">
      <alignment horizontal="left"/>
    </xf>
    <xf numFmtId="0" fontId="13" fillId="2" borderId="0" xfId="3" applyFont="1" applyFill="1" applyAlignment="1">
      <alignment horizontal="center" vertical="center" wrapText="1"/>
    </xf>
    <xf numFmtId="43" fontId="13" fillId="2" borderId="0" xfId="3" applyNumberFormat="1" applyFont="1" applyFill="1" applyAlignment="1">
      <alignment horizontal="center" vertical="center" wrapText="1"/>
    </xf>
    <xf numFmtId="43" fontId="15" fillId="2" borderId="0" xfId="3" applyNumberFormat="1" applyFont="1" applyFill="1" applyAlignment="1">
      <alignment horizontal="center" vertical="center" wrapText="1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left"/>
    </xf>
    <xf numFmtId="0" fontId="13" fillId="0" borderId="0" xfId="3" applyFont="1" applyAlignment="1">
      <alignment horizontal="center"/>
    </xf>
    <xf numFmtId="0" fontId="6" fillId="0" borderId="0" xfId="3" applyFont="1"/>
    <xf numFmtId="43" fontId="13" fillId="0" borderId="0" xfId="3" applyNumberFormat="1" applyFont="1" applyAlignment="1">
      <alignment horizontal="center" vertical="center"/>
    </xf>
    <xf numFmtId="43" fontId="15" fillId="0" borderId="0" xfId="3" applyNumberFormat="1" applyFont="1" applyAlignment="1">
      <alignment horizontal="center" vertical="center"/>
    </xf>
    <xf numFmtId="9" fontId="15" fillId="0" borderId="0" xfId="1" applyFont="1" applyAlignment="1">
      <alignment horizontal="center" vertical="center"/>
    </xf>
    <xf numFmtId="43" fontId="11" fillId="0" borderId="0" xfId="3" applyNumberFormat="1" applyFont="1" applyAlignment="1">
      <alignment horizontal="center" vertical="center"/>
    </xf>
    <xf numFmtId="43" fontId="12" fillId="0" borderId="0" xfId="3" applyNumberFormat="1" applyFont="1" applyAlignment="1">
      <alignment horizontal="center" vertical="center"/>
    </xf>
    <xf numFmtId="43" fontId="6" fillId="0" borderId="0" xfId="3" applyNumberFormat="1" applyFont="1" applyAlignment="1">
      <alignment horizontal="center" vertical="center"/>
    </xf>
    <xf numFmtId="43" fontId="2" fillId="0" borderId="0" xfId="3" applyNumberFormat="1" applyFont="1" applyAlignment="1">
      <alignment horizontal="center" vertical="center"/>
    </xf>
    <xf numFmtId="43" fontId="6" fillId="8" borderId="0" xfId="3" applyNumberFormat="1" applyFont="1" applyFill="1" applyAlignment="1">
      <alignment horizontal="center" vertical="center"/>
    </xf>
    <xf numFmtId="0" fontId="16" fillId="0" borderId="0" xfId="3" applyFont="1"/>
    <xf numFmtId="0" fontId="1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43" fontId="16" fillId="0" borderId="0" xfId="3" applyNumberFormat="1" applyFont="1" applyAlignment="1">
      <alignment horizontal="center" vertical="center"/>
    </xf>
    <xf numFmtId="43" fontId="18" fillId="0" borderId="0" xfId="3" applyNumberFormat="1" applyFont="1" applyAlignment="1">
      <alignment horizontal="center" vertical="center"/>
    </xf>
    <xf numFmtId="43" fontId="2" fillId="7" borderId="0" xfId="3" applyNumberFormat="1" applyFont="1" applyFill="1" applyAlignment="1">
      <alignment horizontal="center" vertical="center"/>
    </xf>
    <xf numFmtId="43" fontId="8" fillId="2" borderId="11" xfId="2" applyNumberFormat="1" applyFont="1" applyFill="1" applyBorder="1" applyAlignment="1">
      <alignment horizontal="center" vertical="center" wrapText="1"/>
    </xf>
    <xf numFmtId="43" fontId="8" fillId="0" borderId="8" xfId="2" applyNumberFormat="1" applyFont="1" applyBorder="1" applyAlignment="1">
      <alignment horizontal="center" vertical="center"/>
    </xf>
    <xf numFmtId="43" fontId="15" fillId="0" borderId="2" xfId="3" applyNumberFormat="1" applyFont="1" applyBorder="1" applyAlignment="1">
      <alignment horizontal="center" vertical="center" wrapText="1"/>
    </xf>
  </cellXfs>
  <cellStyles count="5">
    <cellStyle name="Comma 2" xfId="4"/>
    <cellStyle name="Normal" xfId="0" builtinId="0"/>
    <cellStyle name="Normal 2 3 2" xfId="2"/>
    <cellStyle name="Normal 3" xfId="3"/>
    <cellStyle name="Percent" xfId="1" builtinId="5"/>
  </cellStyles>
  <dxfs count="147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hid/Documents/Manning/manning%202024/Manning%202024/Budget%20Standard%20Maldives-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LA S"/>
      <sheetName val="FB ALLOCATION1"/>
      <sheetName val="ALLOCATION S "/>
      <sheetName val="ALLOCATION1 R"/>
      <sheetName val="ALLOCATION1 RD"/>
      <sheetName val="GUDUGUDA S"/>
      <sheetName val="TODIS S"/>
      <sheetName val="TONIC S"/>
      <sheetName val="Joos Cafe S"/>
      <sheetName val="Beru Bar S"/>
      <sheetName val="SIS S"/>
      <sheetName val="FB Private Events"/>
      <sheetName val="Private Events S"/>
      <sheetName val="Private Events R"/>
      <sheetName val="Private Events RD"/>
      <sheetName val="FB BBQ"/>
      <sheetName val="F&amp;B Manning"/>
      <sheetName val="2024 MANNING"/>
      <sheetName val="Sheet2"/>
      <sheetName val="Minor Op Guest Comm"/>
      <sheetName val="FN"/>
      <sheetName val="SC"/>
      <sheetName val="Grounds keeping"/>
      <sheetName val="Male office"/>
      <sheetName val="Interest Depr Amort"/>
      <sheetName val="GLs"/>
      <sheetName val="ImportExportBASE DP"/>
      <sheetName val="ImportExportBASE 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"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/>
          <cell r="S6">
            <v>62851.94</v>
          </cell>
          <cell r="T6">
            <v>-62851.94</v>
          </cell>
          <cell r="U6">
            <v>-1</v>
          </cell>
          <cell r="V6">
            <v>46700</v>
          </cell>
          <cell r="W6">
            <v>-46700</v>
          </cell>
          <cell r="X6">
            <v>-1</v>
          </cell>
          <cell r="Y6">
            <v>0</v>
          </cell>
          <cell r="Z6">
            <v>0</v>
          </cell>
        </row>
      </sheetData>
      <sheetData sheetId="23">
        <row r="5"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/>
          <cell r="S5">
            <v>144479.25</v>
          </cell>
          <cell r="T5">
            <v>-144479.25</v>
          </cell>
          <cell r="U5">
            <v>-1</v>
          </cell>
          <cell r="V5">
            <v>141300</v>
          </cell>
          <cell r="W5">
            <v>-141300</v>
          </cell>
          <cell r="X5">
            <v>-1</v>
          </cell>
          <cell r="Y5"/>
          <cell r="Z5">
            <v>0</v>
          </cell>
        </row>
      </sheetData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2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55" sqref="A55:XFD55"/>
    </sheetView>
  </sheetViews>
  <sheetFormatPr defaultColWidth="0" defaultRowHeight="15" x14ac:dyDescent="0.25"/>
  <cols>
    <col min="1" max="1" width="10.42578125" style="95" customWidth="1"/>
    <col min="2" max="2" width="40.42578125" style="98" customWidth="1"/>
    <col min="3" max="3" width="8.42578125" style="3" customWidth="1"/>
    <col min="4" max="4" width="13.5703125" style="4" customWidth="1"/>
    <col min="5" max="5" width="12.5703125" style="98" customWidth="1"/>
    <col min="6" max="7" width="12.5703125" style="104" customWidth="1"/>
    <col min="8" max="30" width="12.5703125" style="105" customWidth="1"/>
    <col min="31" max="31" width="11" style="105" bestFit="1" customWidth="1"/>
    <col min="32" max="33" width="12.5703125" style="105" customWidth="1"/>
    <col min="34" max="147" width="9.140625" style="7" customWidth="1"/>
    <col min="148" max="148" width="14.5703125" style="7" customWidth="1"/>
    <col min="149" max="151" width="26.5703125" style="7" customWidth="1"/>
    <col min="152" max="152" width="32.5703125" style="7" customWidth="1"/>
    <col min="153" max="153" width="6.5703125" style="7" customWidth="1"/>
    <col min="154" max="156" width="12.5703125" style="7" customWidth="1"/>
    <col min="157" max="167" width="0" style="7" hidden="1"/>
    <col min="168" max="168" width="8.5703125" style="7" customWidth="1"/>
    <col min="169" max="170" width="26.5703125" style="7" customWidth="1"/>
    <col min="171" max="171" width="12.5703125" style="7" customWidth="1"/>
    <col min="172" max="172" width="16.85546875" style="7" customWidth="1"/>
    <col min="173" max="173" width="6.5703125" style="7" customWidth="1"/>
    <col min="174" max="176" width="10.5703125" style="7" customWidth="1"/>
    <col min="177" max="177" width="20.85546875" style="7" customWidth="1"/>
    <col min="178" max="178" width="32.42578125" style="7" customWidth="1"/>
    <col min="179" max="403" width="9.140625" style="7" customWidth="1"/>
    <col min="404" max="404" width="14.5703125" style="7" customWidth="1"/>
    <col min="405" max="407" width="26.5703125" style="7" customWidth="1"/>
    <col min="408" max="408" width="32.5703125" style="7" customWidth="1"/>
    <col min="409" max="409" width="6.5703125" style="7" customWidth="1"/>
    <col min="410" max="412" width="12.5703125" style="7" customWidth="1"/>
    <col min="413" max="423" width="0" style="7" hidden="1"/>
    <col min="424" max="424" width="8.5703125" style="7" customWidth="1"/>
    <col min="425" max="426" width="26.5703125" style="7" customWidth="1"/>
    <col min="427" max="427" width="12.5703125" style="7" customWidth="1"/>
    <col min="428" max="428" width="16.85546875" style="7" customWidth="1"/>
    <col min="429" max="429" width="6.5703125" style="7" customWidth="1"/>
    <col min="430" max="432" width="10.5703125" style="7" customWidth="1"/>
    <col min="433" max="433" width="20.85546875" style="7" customWidth="1"/>
    <col min="434" max="434" width="32.42578125" style="7" customWidth="1"/>
    <col min="435" max="659" width="9.140625" style="7" customWidth="1"/>
    <col min="660" max="660" width="14.5703125" style="7" customWidth="1"/>
    <col min="661" max="663" width="26.5703125" style="7" customWidth="1"/>
    <col min="664" max="664" width="32.5703125" style="7" customWidth="1"/>
    <col min="665" max="665" width="6.5703125" style="7" customWidth="1"/>
    <col min="666" max="668" width="12.5703125" style="7" customWidth="1"/>
    <col min="669" max="679" width="0" style="7" hidden="1"/>
    <col min="680" max="680" width="8.5703125" style="7" customWidth="1"/>
    <col min="681" max="682" width="26.5703125" style="7" customWidth="1"/>
    <col min="683" max="683" width="12.5703125" style="7" customWidth="1"/>
    <col min="684" max="684" width="16.85546875" style="7" customWidth="1"/>
    <col min="685" max="685" width="6.5703125" style="7" customWidth="1"/>
    <col min="686" max="688" width="10.5703125" style="7" customWidth="1"/>
    <col min="689" max="689" width="20.85546875" style="7" customWidth="1"/>
    <col min="690" max="690" width="32.42578125" style="7" customWidth="1"/>
    <col min="691" max="915" width="9.140625" style="7" customWidth="1"/>
    <col min="916" max="916" width="14.5703125" style="7" customWidth="1"/>
    <col min="917" max="919" width="26.5703125" style="7" customWidth="1"/>
    <col min="920" max="920" width="32.5703125" style="7" customWidth="1"/>
    <col min="921" max="921" width="6.5703125" style="7" customWidth="1"/>
    <col min="922" max="924" width="12.5703125" style="7" customWidth="1"/>
    <col min="925" max="935" width="0" style="7" hidden="1"/>
    <col min="936" max="936" width="8.5703125" style="7" customWidth="1"/>
    <col min="937" max="938" width="26.5703125" style="7" customWidth="1"/>
    <col min="939" max="939" width="12.5703125" style="7" customWidth="1"/>
    <col min="940" max="940" width="16.85546875" style="7" customWidth="1"/>
    <col min="941" max="941" width="6.5703125" style="7" customWidth="1"/>
    <col min="942" max="944" width="10.5703125" style="7" customWidth="1"/>
    <col min="945" max="945" width="20.85546875" style="7" customWidth="1"/>
    <col min="946" max="946" width="32.42578125" style="7" customWidth="1"/>
    <col min="947" max="1171" width="9.140625" style="7" customWidth="1"/>
    <col min="1172" max="1172" width="14.5703125" style="7" customWidth="1"/>
    <col min="1173" max="1175" width="26.5703125" style="7" customWidth="1"/>
    <col min="1176" max="1176" width="32.5703125" style="7" customWidth="1"/>
    <col min="1177" max="1177" width="6.5703125" style="7" customWidth="1"/>
    <col min="1178" max="1180" width="12.5703125" style="7" customWidth="1"/>
    <col min="1181" max="1191" width="0" style="7" hidden="1"/>
    <col min="1192" max="1192" width="8.5703125" style="7" customWidth="1"/>
    <col min="1193" max="1194" width="26.5703125" style="7" customWidth="1"/>
    <col min="1195" max="1195" width="12.5703125" style="7" customWidth="1"/>
    <col min="1196" max="1196" width="16.85546875" style="7" customWidth="1"/>
    <col min="1197" max="1197" width="6.5703125" style="7" customWidth="1"/>
    <col min="1198" max="1200" width="10.5703125" style="7" customWidth="1"/>
    <col min="1201" max="1201" width="20.85546875" style="7" customWidth="1"/>
    <col min="1202" max="1202" width="32.42578125" style="7" customWidth="1"/>
    <col min="1203" max="1427" width="9.140625" style="7" customWidth="1"/>
    <col min="1428" max="1428" width="14.5703125" style="7" customWidth="1"/>
    <col min="1429" max="1431" width="26.5703125" style="7" customWidth="1"/>
    <col min="1432" max="1432" width="32.5703125" style="7" customWidth="1"/>
    <col min="1433" max="1433" width="6.5703125" style="7" customWidth="1"/>
    <col min="1434" max="1436" width="12.5703125" style="7" customWidth="1"/>
    <col min="1437" max="1447" width="0" style="7" hidden="1"/>
    <col min="1448" max="1448" width="8.5703125" style="7" customWidth="1"/>
    <col min="1449" max="1450" width="26.5703125" style="7" customWidth="1"/>
    <col min="1451" max="1451" width="12.5703125" style="7" customWidth="1"/>
    <col min="1452" max="1452" width="16.85546875" style="7" customWidth="1"/>
    <col min="1453" max="1453" width="6.5703125" style="7" customWidth="1"/>
    <col min="1454" max="1456" width="10.5703125" style="7" customWidth="1"/>
    <col min="1457" max="1457" width="20.85546875" style="7" customWidth="1"/>
    <col min="1458" max="1458" width="32.42578125" style="7" customWidth="1"/>
    <col min="1459" max="1683" width="9.140625" style="7" customWidth="1"/>
    <col min="1684" max="1684" width="14.5703125" style="7" customWidth="1"/>
    <col min="1685" max="1687" width="26.5703125" style="7" customWidth="1"/>
    <col min="1688" max="1688" width="32.5703125" style="7" customWidth="1"/>
    <col min="1689" max="1689" width="6.5703125" style="7" customWidth="1"/>
    <col min="1690" max="1692" width="12.5703125" style="7" customWidth="1"/>
    <col min="1693" max="1703" width="0" style="7" hidden="1"/>
    <col min="1704" max="1704" width="8.5703125" style="7" customWidth="1"/>
    <col min="1705" max="1706" width="26.5703125" style="7" customWidth="1"/>
    <col min="1707" max="1707" width="12.5703125" style="7" customWidth="1"/>
    <col min="1708" max="1708" width="16.85546875" style="7" customWidth="1"/>
    <col min="1709" max="1709" width="6.5703125" style="7" customWidth="1"/>
    <col min="1710" max="1712" width="10.5703125" style="7" customWidth="1"/>
    <col min="1713" max="1713" width="20.85546875" style="7" customWidth="1"/>
    <col min="1714" max="1714" width="32.42578125" style="7" customWidth="1"/>
    <col min="1715" max="1939" width="9.140625" style="7" customWidth="1"/>
    <col min="1940" max="1940" width="14.5703125" style="7" customWidth="1"/>
    <col min="1941" max="1943" width="26.5703125" style="7" customWidth="1"/>
    <col min="1944" max="1944" width="32.5703125" style="7" customWidth="1"/>
    <col min="1945" max="1945" width="6.5703125" style="7" customWidth="1"/>
    <col min="1946" max="1948" width="12.5703125" style="7" customWidth="1"/>
    <col min="1949" max="1959" width="0" style="7" hidden="1"/>
    <col min="1960" max="1960" width="8.5703125" style="7" customWidth="1"/>
    <col min="1961" max="1962" width="26.5703125" style="7" customWidth="1"/>
    <col min="1963" max="1963" width="12.5703125" style="7" customWidth="1"/>
    <col min="1964" max="1964" width="16.85546875" style="7" customWidth="1"/>
    <col min="1965" max="1965" width="6.5703125" style="7" customWidth="1"/>
    <col min="1966" max="1968" width="10.5703125" style="7" customWidth="1"/>
    <col min="1969" max="1969" width="20.85546875" style="7" customWidth="1"/>
    <col min="1970" max="1970" width="32.42578125" style="7" customWidth="1"/>
    <col min="1971" max="2195" width="9.140625" style="7" customWidth="1"/>
    <col min="2196" max="2196" width="14.5703125" style="7" customWidth="1"/>
    <col min="2197" max="2199" width="26.5703125" style="7" customWidth="1"/>
    <col min="2200" max="2200" width="32.5703125" style="7" customWidth="1"/>
    <col min="2201" max="2201" width="6.5703125" style="7" customWidth="1"/>
    <col min="2202" max="2204" width="12.5703125" style="7" customWidth="1"/>
    <col min="2205" max="2215" width="0" style="7" hidden="1"/>
    <col min="2216" max="2216" width="8.5703125" style="7" customWidth="1"/>
    <col min="2217" max="2218" width="26.5703125" style="7" customWidth="1"/>
    <col min="2219" max="2219" width="12.5703125" style="7" customWidth="1"/>
    <col min="2220" max="2220" width="16.85546875" style="7" customWidth="1"/>
    <col min="2221" max="2221" width="6.5703125" style="7" customWidth="1"/>
    <col min="2222" max="2224" width="10.5703125" style="7" customWidth="1"/>
    <col min="2225" max="2225" width="20.85546875" style="7" customWidth="1"/>
    <col min="2226" max="2226" width="32.42578125" style="7" customWidth="1"/>
    <col min="2227" max="2451" width="9.140625" style="7" customWidth="1"/>
    <col min="2452" max="2452" width="14.5703125" style="7" customWidth="1"/>
    <col min="2453" max="2455" width="26.5703125" style="7" customWidth="1"/>
    <col min="2456" max="2456" width="32.5703125" style="7" customWidth="1"/>
    <col min="2457" max="2457" width="6.5703125" style="7" customWidth="1"/>
    <col min="2458" max="2460" width="12.5703125" style="7" customWidth="1"/>
    <col min="2461" max="2471" width="0" style="7" hidden="1"/>
    <col min="2472" max="2472" width="8.5703125" style="7" customWidth="1"/>
    <col min="2473" max="2474" width="26.5703125" style="7" customWidth="1"/>
    <col min="2475" max="2475" width="12.5703125" style="7" customWidth="1"/>
    <col min="2476" max="2476" width="16.85546875" style="7" customWidth="1"/>
    <col min="2477" max="2477" width="6.5703125" style="7" customWidth="1"/>
    <col min="2478" max="2480" width="10.5703125" style="7" customWidth="1"/>
    <col min="2481" max="2481" width="20.85546875" style="7" customWidth="1"/>
    <col min="2482" max="2482" width="32.42578125" style="7" customWidth="1"/>
    <col min="2483" max="2707" width="9.140625" style="7" customWidth="1"/>
    <col min="2708" max="2708" width="14.5703125" style="7" customWidth="1"/>
    <col min="2709" max="2711" width="26.5703125" style="7" customWidth="1"/>
    <col min="2712" max="2712" width="32.5703125" style="7" customWidth="1"/>
    <col min="2713" max="2713" width="6.5703125" style="7" customWidth="1"/>
    <col min="2714" max="2716" width="12.5703125" style="7" customWidth="1"/>
    <col min="2717" max="2727" width="0" style="7" hidden="1"/>
    <col min="2728" max="2728" width="8.5703125" style="7" customWidth="1"/>
    <col min="2729" max="2730" width="26.5703125" style="7" customWidth="1"/>
    <col min="2731" max="2731" width="12.5703125" style="7" customWidth="1"/>
    <col min="2732" max="2732" width="16.85546875" style="7" customWidth="1"/>
    <col min="2733" max="2733" width="6.5703125" style="7" customWidth="1"/>
    <col min="2734" max="2736" width="10.5703125" style="7" customWidth="1"/>
    <col min="2737" max="2737" width="20.85546875" style="7" customWidth="1"/>
    <col min="2738" max="2738" width="32.42578125" style="7" customWidth="1"/>
    <col min="2739" max="2963" width="9.140625" style="7" customWidth="1"/>
    <col min="2964" max="2964" width="14.5703125" style="7" customWidth="1"/>
    <col min="2965" max="2967" width="26.5703125" style="7" customWidth="1"/>
    <col min="2968" max="2968" width="32.5703125" style="7" customWidth="1"/>
    <col min="2969" max="2969" width="6.5703125" style="7" customWidth="1"/>
    <col min="2970" max="2972" width="12.5703125" style="7" customWidth="1"/>
    <col min="2973" max="2983" width="0" style="7" hidden="1"/>
    <col min="2984" max="2984" width="8.5703125" style="7" customWidth="1"/>
    <col min="2985" max="2986" width="26.5703125" style="7" customWidth="1"/>
    <col min="2987" max="2987" width="12.5703125" style="7" customWidth="1"/>
    <col min="2988" max="2988" width="16.85546875" style="7" customWidth="1"/>
    <col min="2989" max="2989" width="6.5703125" style="7" customWidth="1"/>
    <col min="2990" max="2992" width="10.5703125" style="7" customWidth="1"/>
    <col min="2993" max="2993" width="20.85546875" style="7" customWidth="1"/>
    <col min="2994" max="2994" width="32.42578125" style="7" customWidth="1"/>
    <col min="2995" max="3219" width="9.140625" style="7" customWidth="1"/>
    <col min="3220" max="3220" width="14.5703125" style="7" customWidth="1"/>
    <col min="3221" max="3223" width="26.5703125" style="7" customWidth="1"/>
    <col min="3224" max="3224" width="32.5703125" style="7" customWidth="1"/>
    <col min="3225" max="3225" width="6.5703125" style="7" customWidth="1"/>
    <col min="3226" max="3228" width="12.5703125" style="7" customWidth="1"/>
    <col min="3229" max="3239" width="0" style="7" hidden="1"/>
    <col min="3240" max="3240" width="8.5703125" style="7" customWidth="1"/>
    <col min="3241" max="3242" width="26.5703125" style="7" customWidth="1"/>
    <col min="3243" max="3243" width="12.5703125" style="7" customWidth="1"/>
    <col min="3244" max="3244" width="16.85546875" style="7" customWidth="1"/>
    <col min="3245" max="3245" width="6.5703125" style="7" customWidth="1"/>
    <col min="3246" max="3248" width="10.5703125" style="7" customWidth="1"/>
    <col min="3249" max="3249" width="20.85546875" style="7" customWidth="1"/>
    <col min="3250" max="3250" width="32.42578125" style="7" customWidth="1"/>
    <col min="3251" max="3475" width="9.140625" style="7" customWidth="1"/>
    <col min="3476" max="3476" width="14.5703125" style="7" customWidth="1"/>
    <col min="3477" max="3479" width="26.5703125" style="7" customWidth="1"/>
    <col min="3480" max="3480" width="32.5703125" style="7" customWidth="1"/>
    <col min="3481" max="3481" width="6.5703125" style="7" customWidth="1"/>
    <col min="3482" max="3484" width="12.5703125" style="7" customWidth="1"/>
    <col min="3485" max="3495" width="0" style="7" hidden="1"/>
    <col min="3496" max="3496" width="8.5703125" style="7" customWidth="1"/>
    <col min="3497" max="3498" width="26.5703125" style="7" customWidth="1"/>
    <col min="3499" max="3499" width="12.5703125" style="7" customWidth="1"/>
    <col min="3500" max="3500" width="16.85546875" style="7" customWidth="1"/>
    <col min="3501" max="3501" width="6.5703125" style="7" customWidth="1"/>
    <col min="3502" max="3504" width="10.5703125" style="7" customWidth="1"/>
    <col min="3505" max="3505" width="20.85546875" style="7" customWidth="1"/>
    <col min="3506" max="3506" width="32.42578125" style="7" customWidth="1"/>
    <col min="3507" max="3731" width="9.140625" style="7" customWidth="1"/>
    <col min="3732" max="3732" width="14.5703125" style="7" customWidth="1"/>
    <col min="3733" max="3735" width="26.5703125" style="7" customWidth="1"/>
    <col min="3736" max="3736" width="32.5703125" style="7" customWidth="1"/>
    <col min="3737" max="3737" width="6.5703125" style="7" customWidth="1"/>
    <col min="3738" max="3740" width="12.5703125" style="7" customWidth="1"/>
    <col min="3741" max="3751" width="0" style="7" hidden="1"/>
    <col min="3752" max="3752" width="8.5703125" style="7" customWidth="1"/>
    <col min="3753" max="3754" width="26.5703125" style="7" customWidth="1"/>
    <col min="3755" max="3755" width="12.5703125" style="7" customWidth="1"/>
    <col min="3756" max="3756" width="16.85546875" style="7" customWidth="1"/>
    <col min="3757" max="3757" width="6.5703125" style="7" customWidth="1"/>
    <col min="3758" max="3760" width="10.5703125" style="7" customWidth="1"/>
    <col min="3761" max="3761" width="20.85546875" style="7" customWidth="1"/>
    <col min="3762" max="3762" width="32.42578125" style="7" customWidth="1"/>
    <col min="3763" max="3987" width="9.140625" style="7" customWidth="1"/>
    <col min="3988" max="3988" width="14.5703125" style="7" customWidth="1"/>
    <col min="3989" max="3991" width="26.5703125" style="7" customWidth="1"/>
    <col min="3992" max="3992" width="32.5703125" style="7" customWidth="1"/>
    <col min="3993" max="3993" width="6.5703125" style="7" customWidth="1"/>
    <col min="3994" max="3996" width="12.5703125" style="7" customWidth="1"/>
    <col min="3997" max="4007" width="0" style="7" hidden="1"/>
    <col min="4008" max="4008" width="8.5703125" style="7" customWidth="1"/>
    <col min="4009" max="4010" width="26.5703125" style="7" customWidth="1"/>
    <col min="4011" max="4011" width="12.5703125" style="7" customWidth="1"/>
    <col min="4012" max="4012" width="16.85546875" style="7" customWidth="1"/>
    <col min="4013" max="4013" width="6.5703125" style="7" customWidth="1"/>
    <col min="4014" max="4016" width="10.5703125" style="7" customWidth="1"/>
    <col min="4017" max="4017" width="20.85546875" style="7" customWidth="1"/>
    <col min="4018" max="4018" width="32.42578125" style="7" customWidth="1"/>
    <col min="4019" max="4243" width="9.140625" style="7" customWidth="1"/>
    <col min="4244" max="4244" width="14.5703125" style="7" customWidth="1"/>
    <col min="4245" max="4247" width="26.5703125" style="7" customWidth="1"/>
    <col min="4248" max="4248" width="32.5703125" style="7" customWidth="1"/>
    <col min="4249" max="4249" width="6.5703125" style="7" customWidth="1"/>
    <col min="4250" max="4252" width="12.5703125" style="7" customWidth="1"/>
    <col min="4253" max="4263" width="0" style="7" hidden="1"/>
    <col min="4264" max="4264" width="8.5703125" style="7" customWidth="1"/>
    <col min="4265" max="4266" width="26.5703125" style="7" customWidth="1"/>
    <col min="4267" max="4267" width="12.5703125" style="7" customWidth="1"/>
    <col min="4268" max="4268" width="16.85546875" style="7" customWidth="1"/>
    <col min="4269" max="4269" width="6.5703125" style="7" customWidth="1"/>
    <col min="4270" max="4272" width="10.5703125" style="7" customWidth="1"/>
    <col min="4273" max="4273" width="20.85546875" style="7" customWidth="1"/>
    <col min="4274" max="4274" width="32.42578125" style="7" customWidth="1"/>
    <col min="4275" max="4499" width="9.140625" style="7" customWidth="1"/>
    <col min="4500" max="4500" width="14.5703125" style="7" customWidth="1"/>
    <col min="4501" max="4503" width="26.5703125" style="7" customWidth="1"/>
    <col min="4504" max="4504" width="32.5703125" style="7" customWidth="1"/>
    <col min="4505" max="4505" width="6.5703125" style="7" customWidth="1"/>
    <col min="4506" max="4508" width="12.5703125" style="7" customWidth="1"/>
    <col min="4509" max="4519" width="0" style="7" hidden="1"/>
    <col min="4520" max="4520" width="8.5703125" style="7" customWidth="1"/>
    <col min="4521" max="4522" width="26.5703125" style="7" customWidth="1"/>
    <col min="4523" max="4523" width="12.5703125" style="7" customWidth="1"/>
    <col min="4524" max="4524" width="16.85546875" style="7" customWidth="1"/>
    <col min="4525" max="4525" width="6.5703125" style="7" customWidth="1"/>
    <col min="4526" max="4528" width="10.5703125" style="7" customWidth="1"/>
    <col min="4529" max="4529" width="20.85546875" style="7" customWidth="1"/>
    <col min="4530" max="4530" width="32.42578125" style="7" customWidth="1"/>
    <col min="4531" max="4755" width="9.140625" style="7" customWidth="1"/>
    <col min="4756" max="4756" width="14.5703125" style="7" customWidth="1"/>
    <col min="4757" max="4759" width="26.5703125" style="7" customWidth="1"/>
    <col min="4760" max="4760" width="32.5703125" style="7" customWidth="1"/>
    <col min="4761" max="4761" width="6.5703125" style="7" customWidth="1"/>
    <col min="4762" max="4764" width="12.5703125" style="7" customWidth="1"/>
    <col min="4765" max="4775" width="0" style="7" hidden="1"/>
    <col min="4776" max="4776" width="8.5703125" style="7" customWidth="1"/>
    <col min="4777" max="4778" width="26.5703125" style="7" customWidth="1"/>
    <col min="4779" max="4779" width="12.5703125" style="7" customWidth="1"/>
    <col min="4780" max="4780" width="16.85546875" style="7" customWidth="1"/>
    <col min="4781" max="4781" width="6.5703125" style="7" customWidth="1"/>
    <col min="4782" max="4784" width="10.5703125" style="7" customWidth="1"/>
    <col min="4785" max="4785" width="20.85546875" style="7" customWidth="1"/>
    <col min="4786" max="4786" width="32.42578125" style="7" customWidth="1"/>
    <col min="4787" max="5011" width="9.140625" style="7" customWidth="1"/>
    <col min="5012" max="5012" width="14.5703125" style="7" customWidth="1"/>
    <col min="5013" max="5015" width="26.5703125" style="7" customWidth="1"/>
    <col min="5016" max="5016" width="32.5703125" style="7" customWidth="1"/>
    <col min="5017" max="5017" width="6.5703125" style="7" customWidth="1"/>
    <col min="5018" max="5020" width="12.5703125" style="7" customWidth="1"/>
    <col min="5021" max="5031" width="0" style="7" hidden="1"/>
    <col min="5032" max="5032" width="8.5703125" style="7" customWidth="1"/>
    <col min="5033" max="5034" width="26.5703125" style="7" customWidth="1"/>
    <col min="5035" max="5035" width="12.5703125" style="7" customWidth="1"/>
    <col min="5036" max="5036" width="16.85546875" style="7" customWidth="1"/>
    <col min="5037" max="5037" width="6.5703125" style="7" customWidth="1"/>
    <col min="5038" max="5040" width="10.5703125" style="7" customWidth="1"/>
    <col min="5041" max="5041" width="20.85546875" style="7" customWidth="1"/>
    <col min="5042" max="5042" width="32.42578125" style="7" customWidth="1"/>
    <col min="5043" max="5267" width="9.140625" style="7" customWidth="1"/>
    <col min="5268" max="5268" width="14.5703125" style="7" customWidth="1"/>
    <col min="5269" max="5271" width="26.5703125" style="7" customWidth="1"/>
    <col min="5272" max="5272" width="32.5703125" style="7" customWidth="1"/>
    <col min="5273" max="5273" width="6.5703125" style="7" customWidth="1"/>
    <col min="5274" max="5276" width="12.5703125" style="7" customWidth="1"/>
    <col min="5277" max="5287" width="0" style="7" hidden="1"/>
    <col min="5288" max="5288" width="8.5703125" style="7" customWidth="1"/>
    <col min="5289" max="5290" width="26.5703125" style="7" customWidth="1"/>
    <col min="5291" max="5291" width="12.5703125" style="7" customWidth="1"/>
    <col min="5292" max="5292" width="16.85546875" style="7" customWidth="1"/>
    <col min="5293" max="5293" width="6.5703125" style="7" customWidth="1"/>
    <col min="5294" max="5296" width="10.5703125" style="7" customWidth="1"/>
    <col min="5297" max="5297" width="20.85546875" style="7" customWidth="1"/>
    <col min="5298" max="5298" width="32.42578125" style="7" customWidth="1"/>
    <col min="5299" max="5523" width="9.140625" style="7" customWidth="1"/>
    <col min="5524" max="5524" width="14.5703125" style="7" customWidth="1"/>
    <col min="5525" max="5527" width="26.5703125" style="7" customWidth="1"/>
    <col min="5528" max="5528" width="32.5703125" style="7" customWidth="1"/>
    <col min="5529" max="5529" width="6.5703125" style="7" customWidth="1"/>
    <col min="5530" max="5532" width="12.5703125" style="7" customWidth="1"/>
    <col min="5533" max="5543" width="0" style="7" hidden="1"/>
    <col min="5544" max="5544" width="8.5703125" style="7" customWidth="1"/>
    <col min="5545" max="5546" width="26.5703125" style="7" customWidth="1"/>
    <col min="5547" max="5547" width="12.5703125" style="7" customWidth="1"/>
    <col min="5548" max="5548" width="16.85546875" style="7" customWidth="1"/>
    <col min="5549" max="5549" width="6.5703125" style="7" customWidth="1"/>
    <col min="5550" max="5552" width="10.5703125" style="7" customWidth="1"/>
    <col min="5553" max="5553" width="20.85546875" style="7" customWidth="1"/>
    <col min="5554" max="5554" width="32.42578125" style="7" customWidth="1"/>
    <col min="5555" max="5779" width="9.140625" style="7" customWidth="1"/>
    <col min="5780" max="5780" width="14.5703125" style="7" customWidth="1"/>
    <col min="5781" max="5783" width="26.5703125" style="7" customWidth="1"/>
    <col min="5784" max="5784" width="32.5703125" style="7" customWidth="1"/>
    <col min="5785" max="5785" width="6.5703125" style="7" customWidth="1"/>
    <col min="5786" max="5788" width="12.5703125" style="7" customWidth="1"/>
    <col min="5789" max="5799" width="0" style="7" hidden="1"/>
    <col min="5800" max="5800" width="8.5703125" style="7" customWidth="1"/>
    <col min="5801" max="5802" width="26.5703125" style="7" customWidth="1"/>
    <col min="5803" max="5803" width="12.5703125" style="7" customWidth="1"/>
    <col min="5804" max="5804" width="16.85546875" style="7" customWidth="1"/>
    <col min="5805" max="5805" width="6.5703125" style="7" customWidth="1"/>
    <col min="5806" max="5808" width="10.5703125" style="7" customWidth="1"/>
    <col min="5809" max="5809" width="20.85546875" style="7" customWidth="1"/>
    <col min="5810" max="5810" width="32.42578125" style="7" customWidth="1"/>
    <col min="5811" max="6035" width="9.140625" style="7" customWidth="1"/>
    <col min="6036" max="6036" width="14.5703125" style="7" customWidth="1"/>
    <col min="6037" max="6039" width="26.5703125" style="7" customWidth="1"/>
    <col min="6040" max="6040" width="32.5703125" style="7" customWidth="1"/>
    <col min="6041" max="6041" width="6.5703125" style="7" customWidth="1"/>
    <col min="6042" max="6044" width="12.5703125" style="7" customWidth="1"/>
    <col min="6045" max="6055" width="0" style="7" hidden="1"/>
    <col min="6056" max="6056" width="8.5703125" style="7" customWidth="1"/>
    <col min="6057" max="6058" width="26.5703125" style="7" customWidth="1"/>
    <col min="6059" max="6059" width="12.5703125" style="7" customWidth="1"/>
    <col min="6060" max="6060" width="16.85546875" style="7" customWidth="1"/>
    <col min="6061" max="6061" width="6.5703125" style="7" customWidth="1"/>
    <col min="6062" max="6064" width="10.5703125" style="7" customWidth="1"/>
    <col min="6065" max="6065" width="20.85546875" style="7" customWidth="1"/>
    <col min="6066" max="6066" width="32.42578125" style="7" customWidth="1"/>
    <col min="6067" max="6291" width="9.140625" style="7" customWidth="1"/>
    <col min="6292" max="6292" width="14.5703125" style="7" customWidth="1"/>
    <col min="6293" max="6295" width="26.5703125" style="7" customWidth="1"/>
    <col min="6296" max="6296" width="32.5703125" style="7" customWidth="1"/>
    <col min="6297" max="6297" width="6.5703125" style="7" customWidth="1"/>
    <col min="6298" max="6300" width="12.5703125" style="7" customWidth="1"/>
    <col min="6301" max="6311" width="0" style="7" hidden="1"/>
    <col min="6312" max="6312" width="8.5703125" style="7" customWidth="1"/>
    <col min="6313" max="6314" width="26.5703125" style="7" customWidth="1"/>
    <col min="6315" max="6315" width="12.5703125" style="7" customWidth="1"/>
    <col min="6316" max="6316" width="16.85546875" style="7" customWidth="1"/>
    <col min="6317" max="6317" width="6.5703125" style="7" customWidth="1"/>
    <col min="6318" max="6320" width="10.5703125" style="7" customWidth="1"/>
    <col min="6321" max="6321" width="20.85546875" style="7" customWidth="1"/>
    <col min="6322" max="6322" width="32.42578125" style="7" customWidth="1"/>
    <col min="6323" max="6547" width="9.140625" style="7" customWidth="1"/>
    <col min="6548" max="6548" width="14.5703125" style="7" customWidth="1"/>
    <col min="6549" max="6551" width="26.5703125" style="7" customWidth="1"/>
    <col min="6552" max="6552" width="32.5703125" style="7" customWidth="1"/>
    <col min="6553" max="6553" width="6.5703125" style="7" customWidth="1"/>
    <col min="6554" max="6556" width="12.5703125" style="7" customWidth="1"/>
    <col min="6557" max="6567" width="0" style="7" hidden="1"/>
    <col min="6568" max="6568" width="8.5703125" style="7" customWidth="1"/>
    <col min="6569" max="6570" width="26.5703125" style="7" customWidth="1"/>
    <col min="6571" max="6571" width="12.5703125" style="7" customWidth="1"/>
    <col min="6572" max="6572" width="16.85546875" style="7" customWidth="1"/>
    <col min="6573" max="6573" width="6.5703125" style="7" customWidth="1"/>
    <col min="6574" max="6576" width="10.5703125" style="7" customWidth="1"/>
    <col min="6577" max="6577" width="20.85546875" style="7" customWidth="1"/>
    <col min="6578" max="6578" width="32.42578125" style="7" customWidth="1"/>
    <col min="6579" max="6803" width="9.140625" style="7" customWidth="1"/>
    <col min="6804" max="6804" width="14.5703125" style="7" customWidth="1"/>
    <col min="6805" max="6807" width="26.5703125" style="7" customWidth="1"/>
    <col min="6808" max="6808" width="32.5703125" style="7" customWidth="1"/>
    <col min="6809" max="6809" width="6.5703125" style="7" customWidth="1"/>
    <col min="6810" max="6812" width="12.5703125" style="7" customWidth="1"/>
    <col min="6813" max="6823" width="0" style="7" hidden="1"/>
    <col min="6824" max="6824" width="8.5703125" style="7" customWidth="1"/>
    <col min="6825" max="6826" width="26.5703125" style="7" customWidth="1"/>
    <col min="6827" max="6827" width="12.5703125" style="7" customWidth="1"/>
    <col min="6828" max="6828" width="16.85546875" style="7" customWidth="1"/>
    <col min="6829" max="6829" width="6.5703125" style="7" customWidth="1"/>
    <col min="6830" max="6832" width="10.5703125" style="7" customWidth="1"/>
    <col min="6833" max="6833" width="20.85546875" style="7" customWidth="1"/>
    <col min="6834" max="6834" width="32.42578125" style="7" customWidth="1"/>
    <col min="6835" max="7059" width="9.140625" style="7" customWidth="1"/>
    <col min="7060" max="7060" width="14.5703125" style="7" customWidth="1"/>
    <col min="7061" max="7063" width="26.5703125" style="7" customWidth="1"/>
    <col min="7064" max="7064" width="32.5703125" style="7" customWidth="1"/>
    <col min="7065" max="7065" width="6.5703125" style="7" customWidth="1"/>
    <col min="7066" max="7068" width="12.5703125" style="7" customWidth="1"/>
    <col min="7069" max="7079" width="0" style="7" hidden="1"/>
    <col min="7080" max="7080" width="8.5703125" style="7" customWidth="1"/>
    <col min="7081" max="7082" width="26.5703125" style="7" customWidth="1"/>
    <col min="7083" max="7083" width="12.5703125" style="7" customWidth="1"/>
    <col min="7084" max="7084" width="16.85546875" style="7" customWidth="1"/>
    <col min="7085" max="7085" width="6.5703125" style="7" customWidth="1"/>
    <col min="7086" max="7088" width="10.5703125" style="7" customWidth="1"/>
    <col min="7089" max="7089" width="20.85546875" style="7" customWidth="1"/>
    <col min="7090" max="7090" width="32.42578125" style="7" customWidth="1"/>
    <col min="7091" max="7315" width="9.140625" style="7" customWidth="1"/>
    <col min="7316" max="7316" width="14.5703125" style="7" customWidth="1"/>
    <col min="7317" max="7319" width="26.5703125" style="7" customWidth="1"/>
    <col min="7320" max="7320" width="32.5703125" style="7" customWidth="1"/>
    <col min="7321" max="7321" width="6.5703125" style="7" customWidth="1"/>
    <col min="7322" max="7324" width="12.5703125" style="7" customWidth="1"/>
    <col min="7325" max="7335" width="0" style="7" hidden="1"/>
    <col min="7336" max="7336" width="8.5703125" style="7" customWidth="1"/>
    <col min="7337" max="7338" width="26.5703125" style="7" customWidth="1"/>
    <col min="7339" max="7339" width="12.5703125" style="7" customWidth="1"/>
    <col min="7340" max="7340" width="16.85546875" style="7" customWidth="1"/>
    <col min="7341" max="7341" width="6.5703125" style="7" customWidth="1"/>
    <col min="7342" max="7344" width="10.5703125" style="7" customWidth="1"/>
    <col min="7345" max="7345" width="20.85546875" style="7" customWidth="1"/>
    <col min="7346" max="7346" width="32.42578125" style="7" customWidth="1"/>
    <col min="7347" max="7571" width="9.140625" style="7" customWidth="1"/>
    <col min="7572" max="7572" width="14.5703125" style="7" customWidth="1"/>
    <col min="7573" max="7575" width="26.5703125" style="7" customWidth="1"/>
    <col min="7576" max="7576" width="32.5703125" style="7" customWidth="1"/>
    <col min="7577" max="7577" width="6.5703125" style="7" customWidth="1"/>
    <col min="7578" max="7580" width="12.5703125" style="7" customWidth="1"/>
    <col min="7581" max="7591" width="0" style="7" hidden="1"/>
    <col min="7592" max="7592" width="8.5703125" style="7" customWidth="1"/>
    <col min="7593" max="7594" width="26.5703125" style="7" customWidth="1"/>
    <col min="7595" max="7595" width="12.5703125" style="7" customWidth="1"/>
    <col min="7596" max="7596" width="16.85546875" style="7" customWidth="1"/>
    <col min="7597" max="7597" width="6.5703125" style="7" customWidth="1"/>
    <col min="7598" max="7600" width="10.5703125" style="7" customWidth="1"/>
    <col min="7601" max="7601" width="20.85546875" style="7" customWidth="1"/>
    <col min="7602" max="7602" width="32.42578125" style="7" customWidth="1"/>
    <col min="7603" max="7827" width="9.140625" style="7" customWidth="1"/>
    <col min="7828" max="7828" width="14.5703125" style="7" customWidth="1"/>
    <col min="7829" max="7831" width="26.5703125" style="7" customWidth="1"/>
    <col min="7832" max="7832" width="32.5703125" style="7" customWidth="1"/>
    <col min="7833" max="7833" width="6.5703125" style="7" customWidth="1"/>
    <col min="7834" max="7836" width="12.5703125" style="7" customWidth="1"/>
    <col min="7837" max="7847" width="0" style="7" hidden="1"/>
    <col min="7848" max="7848" width="8.5703125" style="7" customWidth="1"/>
    <col min="7849" max="7850" width="26.5703125" style="7" customWidth="1"/>
    <col min="7851" max="7851" width="12.5703125" style="7" customWidth="1"/>
    <col min="7852" max="7852" width="16.85546875" style="7" customWidth="1"/>
    <col min="7853" max="7853" width="6.5703125" style="7" customWidth="1"/>
    <col min="7854" max="7856" width="10.5703125" style="7" customWidth="1"/>
    <col min="7857" max="7857" width="20.85546875" style="7" customWidth="1"/>
    <col min="7858" max="7858" width="32.42578125" style="7" customWidth="1"/>
    <col min="7859" max="8083" width="9.140625" style="7" customWidth="1"/>
    <col min="8084" max="8084" width="14.5703125" style="7" customWidth="1"/>
    <col min="8085" max="8087" width="26.5703125" style="7" customWidth="1"/>
    <col min="8088" max="8088" width="32.5703125" style="7" customWidth="1"/>
    <col min="8089" max="8089" width="6.5703125" style="7" customWidth="1"/>
    <col min="8090" max="8092" width="12.5703125" style="7" customWidth="1"/>
    <col min="8093" max="8103" width="0" style="7" hidden="1"/>
    <col min="8104" max="8104" width="8.5703125" style="7" customWidth="1"/>
    <col min="8105" max="8106" width="26.5703125" style="7" customWidth="1"/>
    <col min="8107" max="8107" width="12.5703125" style="7" customWidth="1"/>
    <col min="8108" max="8108" width="16.85546875" style="7" customWidth="1"/>
    <col min="8109" max="8109" width="6.5703125" style="7" customWidth="1"/>
    <col min="8110" max="8112" width="10.5703125" style="7" customWidth="1"/>
    <col min="8113" max="8113" width="20.85546875" style="7" customWidth="1"/>
    <col min="8114" max="8114" width="32.42578125" style="7" customWidth="1"/>
    <col min="8115" max="8339" width="9.140625" style="7" customWidth="1"/>
    <col min="8340" max="8340" width="14.5703125" style="7" customWidth="1"/>
    <col min="8341" max="8343" width="26.5703125" style="7" customWidth="1"/>
    <col min="8344" max="8344" width="32.5703125" style="7" customWidth="1"/>
    <col min="8345" max="8345" width="6.5703125" style="7" customWidth="1"/>
    <col min="8346" max="8348" width="12.5703125" style="7" customWidth="1"/>
    <col min="8349" max="8359" width="0" style="7" hidden="1"/>
    <col min="8360" max="8360" width="8.5703125" style="7" customWidth="1"/>
    <col min="8361" max="8362" width="26.5703125" style="7" customWidth="1"/>
    <col min="8363" max="8363" width="12.5703125" style="7" customWidth="1"/>
    <col min="8364" max="8364" width="16.85546875" style="7" customWidth="1"/>
    <col min="8365" max="8365" width="6.5703125" style="7" customWidth="1"/>
    <col min="8366" max="8368" width="10.5703125" style="7" customWidth="1"/>
    <col min="8369" max="8369" width="20.85546875" style="7" customWidth="1"/>
    <col min="8370" max="8370" width="32.42578125" style="7" customWidth="1"/>
    <col min="8371" max="8595" width="9.140625" style="7" customWidth="1"/>
    <col min="8596" max="8596" width="14.5703125" style="7" customWidth="1"/>
    <col min="8597" max="8599" width="26.5703125" style="7" customWidth="1"/>
    <col min="8600" max="8600" width="32.5703125" style="7" customWidth="1"/>
    <col min="8601" max="8601" width="6.5703125" style="7" customWidth="1"/>
    <col min="8602" max="8604" width="12.5703125" style="7" customWidth="1"/>
    <col min="8605" max="8615" width="0" style="7" hidden="1"/>
    <col min="8616" max="8616" width="8.5703125" style="7" customWidth="1"/>
    <col min="8617" max="8618" width="26.5703125" style="7" customWidth="1"/>
    <col min="8619" max="8619" width="12.5703125" style="7" customWidth="1"/>
    <col min="8620" max="8620" width="16.85546875" style="7" customWidth="1"/>
    <col min="8621" max="8621" width="6.5703125" style="7" customWidth="1"/>
    <col min="8622" max="8624" width="10.5703125" style="7" customWidth="1"/>
    <col min="8625" max="8625" width="20.85546875" style="7" customWidth="1"/>
    <col min="8626" max="8626" width="32.42578125" style="7" customWidth="1"/>
    <col min="8627" max="8851" width="9.140625" style="7" customWidth="1"/>
    <col min="8852" max="8852" width="14.5703125" style="7" customWidth="1"/>
    <col min="8853" max="8855" width="26.5703125" style="7" customWidth="1"/>
    <col min="8856" max="8856" width="32.5703125" style="7" customWidth="1"/>
    <col min="8857" max="8857" width="6.5703125" style="7" customWidth="1"/>
    <col min="8858" max="8860" width="12.5703125" style="7" customWidth="1"/>
    <col min="8861" max="8871" width="0" style="7" hidden="1"/>
    <col min="8872" max="8872" width="8.5703125" style="7" customWidth="1"/>
    <col min="8873" max="8874" width="26.5703125" style="7" customWidth="1"/>
    <col min="8875" max="8875" width="12.5703125" style="7" customWidth="1"/>
    <col min="8876" max="8876" width="16.85546875" style="7" customWidth="1"/>
    <col min="8877" max="8877" width="6.5703125" style="7" customWidth="1"/>
    <col min="8878" max="8880" width="10.5703125" style="7" customWidth="1"/>
    <col min="8881" max="8881" width="20.85546875" style="7" customWidth="1"/>
    <col min="8882" max="8882" width="32.42578125" style="7" customWidth="1"/>
    <col min="8883" max="9107" width="9.140625" style="7" customWidth="1"/>
    <col min="9108" max="9108" width="14.5703125" style="7" customWidth="1"/>
    <col min="9109" max="9111" width="26.5703125" style="7" customWidth="1"/>
    <col min="9112" max="9112" width="32.5703125" style="7" customWidth="1"/>
    <col min="9113" max="9113" width="6.5703125" style="7" customWidth="1"/>
    <col min="9114" max="9116" width="12.5703125" style="7" customWidth="1"/>
    <col min="9117" max="9127" width="0" style="7" hidden="1"/>
    <col min="9128" max="9128" width="8.5703125" style="7" customWidth="1"/>
    <col min="9129" max="9130" width="26.5703125" style="7" customWidth="1"/>
    <col min="9131" max="9131" width="12.5703125" style="7" customWidth="1"/>
    <col min="9132" max="9132" width="16.85546875" style="7" customWidth="1"/>
    <col min="9133" max="9133" width="6.5703125" style="7" customWidth="1"/>
    <col min="9134" max="9136" width="10.5703125" style="7" customWidth="1"/>
    <col min="9137" max="9137" width="20.85546875" style="7" customWidth="1"/>
    <col min="9138" max="9138" width="32.42578125" style="7" customWidth="1"/>
    <col min="9139" max="9363" width="9.140625" style="7" customWidth="1"/>
    <col min="9364" max="9364" width="14.5703125" style="7" customWidth="1"/>
    <col min="9365" max="9367" width="26.5703125" style="7" customWidth="1"/>
    <col min="9368" max="9368" width="32.5703125" style="7" customWidth="1"/>
    <col min="9369" max="9369" width="6.5703125" style="7" customWidth="1"/>
    <col min="9370" max="9372" width="12.5703125" style="7" customWidth="1"/>
    <col min="9373" max="9383" width="0" style="7" hidden="1"/>
    <col min="9384" max="9384" width="8.5703125" style="7" customWidth="1"/>
    <col min="9385" max="9386" width="26.5703125" style="7" customWidth="1"/>
    <col min="9387" max="9387" width="12.5703125" style="7" customWidth="1"/>
    <col min="9388" max="9388" width="16.85546875" style="7" customWidth="1"/>
    <col min="9389" max="9389" width="6.5703125" style="7" customWidth="1"/>
    <col min="9390" max="9392" width="10.5703125" style="7" customWidth="1"/>
    <col min="9393" max="9393" width="20.85546875" style="7" customWidth="1"/>
    <col min="9394" max="9394" width="32.42578125" style="7" customWidth="1"/>
    <col min="9395" max="9619" width="9.140625" style="7" customWidth="1"/>
    <col min="9620" max="9620" width="14.5703125" style="7" customWidth="1"/>
    <col min="9621" max="9623" width="26.5703125" style="7" customWidth="1"/>
    <col min="9624" max="9624" width="32.5703125" style="7" customWidth="1"/>
    <col min="9625" max="9625" width="6.5703125" style="7" customWidth="1"/>
    <col min="9626" max="9628" width="12.5703125" style="7" customWidth="1"/>
    <col min="9629" max="9639" width="0" style="7" hidden="1"/>
    <col min="9640" max="9640" width="8.5703125" style="7" customWidth="1"/>
    <col min="9641" max="9642" width="26.5703125" style="7" customWidth="1"/>
    <col min="9643" max="9643" width="12.5703125" style="7" customWidth="1"/>
    <col min="9644" max="9644" width="16.85546875" style="7" customWidth="1"/>
    <col min="9645" max="9645" width="6.5703125" style="7" customWidth="1"/>
    <col min="9646" max="9648" width="10.5703125" style="7" customWidth="1"/>
    <col min="9649" max="9649" width="20.85546875" style="7" customWidth="1"/>
    <col min="9650" max="9650" width="32.42578125" style="7" customWidth="1"/>
    <col min="9651" max="9875" width="9.140625" style="7" customWidth="1"/>
    <col min="9876" max="9876" width="14.5703125" style="7" customWidth="1"/>
    <col min="9877" max="9879" width="26.5703125" style="7" customWidth="1"/>
    <col min="9880" max="9880" width="32.5703125" style="7" customWidth="1"/>
    <col min="9881" max="9881" width="6.5703125" style="7" customWidth="1"/>
    <col min="9882" max="9884" width="12.5703125" style="7" customWidth="1"/>
    <col min="9885" max="9895" width="0" style="7" hidden="1"/>
    <col min="9896" max="9896" width="8.5703125" style="7" customWidth="1"/>
    <col min="9897" max="9898" width="26.5703125" style="7" customWidth="1"/>
    <col min="9899" max="9899" width="12.5703125" style="7" customWidth="1"/>
    <col min="9900" max="9900" width="16.85546875" style="7" customWidth="1"/>
    <col min="9901" max="9901" width="6.5703125" style="7" customWidth="1"/>
    <col min="9902" max="9904" width="10.5703125" style="7" customWidth="1"/>
    <col min="9905" max="9905" width="20.85546875" style="7" customWidth="1"/>
    <col min="9906" max="9906" width="32.42578125" style="7" customWidth="1"/>
    <col min="9907" max="10131" width="9.140625" style="7" customWidth="1"/>
    <col min="10132" max="10132" width="14.5703125" style="7" customWidth="1"/>
    <col min="10133" max="10135" width="26.5703125" style="7" customWidth="1"/>
    <col min="10136" max="10136" width="32.5703125" style="7" customWidth="1"/>
    <col min="10137" max="10137" width="6.5703125" style="7" customWidth="1"/>
    <col min="10138" max="10140" width="12.5703125" style="7" customWidth="1"/>
    <col min="10141" max="10151" width="0" style="7" hidden="1"/>
    <col min="10152" max="10152" width="8.5703125" style="7" customWidth="1"/>
    <col min="10153" max="10154" width="26.5703125" style="7" customWidth="1"/>
    <col min="10155" max="10155" width="12.5703125" style="7" customWidth="1"/>
    <col min="10156" max="10156" width="16.85546875" style="7" customWidth="1"/>
    <col min="10157" max="10157" width="6.5703125" style="7" customWidth="1"/>
    <col min="10158" max="10160" width="10.5703125" style="7" customWidth="1"/>
    <col min="10161" max="10161" width="20.85546875" style="7" customWidth="1"/>
    <col min="10162" max="10162" width="32.42578125" style="7" customWidth="1"/>
    <col min="10163" max="10387" width="9.140625" style="7" customWidth="1"/>
    <col min="10388" max="10388" width="14.5703125" style="7" customWidth="1"/>
    <col min="10389" max="10391" width="26.5703125" style="7" customWidth="1"/>
    <col min="10392" max="10392" width="32.5703125" style="7" customWidth="1"/>
    <col min="10393" max="10393" width="6.5703125" style="7" customWidth="1"/>
    <col min="10394" max="10396" width="12.5703125" style="7" customWidth="1"/>
    <col min="10397" max="10407" width="0" style="7" hidden="1"/>
    <col min="10408" max="10408" width="8.5703125" style="7" customWidth="1"/>
    <col min="10409" max="10410" width="26.5703125" style="7" customWidth="1"/>
    <col min="10411" max="10411" width="12.5703125" style="7" customWidth="1"/>
    <col min="10412" max="10412" width="16.85546875" style="7" customWidth="1"/>
    <col min="10413" max="10413" width="6.5703125" style="7" customWidth="1"/>
    <col min="10414" max="10416" width="10.5703125" style="7" customWidth="1"/>
    <col min="10417" max="10417" width="20.85546875" style="7" customWidth="1"/>
    <col min="10418" max="10418" width="32.42578125" style="7" customWidth="1"/>
    <col min="10419" max="10643" width="9.140625" style="7" customWidth="1"/>
    <col min="10644" max="10644" width="14.5703125" style="7" customWidth="1"/>
    <col min="10645" max="10647" width="26.5703125" style="7" customWidth="1"/>
    <col min="10648" max="10648" width="32.5703125" style="7" customWidth="1"/>
    <col min="10649" max="10649" width="6.5703125" style="7" customWidth="1"/>
    <col min="10650" max="10652" width="12.5703125" style="7" customWidth="1"/>
    <col min="10653" max="10663" width="0" style="7" hidden="1"/>
    <col min="10664" max="10664" width="8.5703125" style="7" customWidth="1"/>
    <col min="10665" max="10666" width="26.5703125" style="7" customWidth="1"/>
    <col min="10667" max="10667" width="12.5703125" style="7" customWidth="1"/>
    <col min="10668" max="10668" width="16.85546875" style="7" customWidth="1"/>
    <col min="10669" max="10669" width="6.5703125" style="7" customWidth="1"/>
    <col min="10670" max="10672" width="10.5703125" style="7" customWidth="1"/>
    <col min="10673" max="10673" width="20.85546875" style="7" customWidth="1"/>
    <col min="10674" max="10674" width="32.42578125" style="7" customWidth="1"/>
    <col min="10675" max="10899" width="9.140625" style="7" customWidth="1"/>
    <col min="10900" max="10900" width="14.5703125" style="7" customWidth="1"/>
    <col min="10901" max="10903" width="26.5703125" style="7" customWidth="1"/>
    <col min="10904" max="10904" width="32.5703125" style="7" customWidth="1"/>
    <col min="10905" max="10905" width="6.5703125" style="7" customWidth="1"/>
    <col min="10906" max="10908" width="12.5703125" style="7" customWidth="1"/>
    <col min="10909" max="10919" width="0" style="7" hidden="1"/>
    <col min="10920" max="10920" width="8.5703125" style="7" customWidth="1"/>
    <col min="10921" max="10922" width="26.5703125" style="7" customWidth="1"/>
    <col min="10923" max="10923" width="12.5703125" style="7" customWidth="1"/>
    <col min="10924" max="10924" width="16.85546875" style="7" customWidth="1"/>
    <col min="10925" max="10925" width="6.5703125" style="7" customWidth="1"/>
    <col min="10926" max="10928" width="10.5703125" style="7" customWidth="1"/>
    <col min="10929" max="10929" width="20.85546875" style="7" customWidth="1"/>
    <col min="10930" max="10930" width="32.42578125" style="7" customWidth="1"/>
    <col min="10931" max="11155" width="9.140625" style="7" customWidth="1"/>
    <col min="11156" max="11156" width="14.5703125" style="7" customWidth="1"/>
    <col min="11157" max="11159" width="26.5703125" style="7" customWidth="1"/>
    <col min="11160" max="11160" width="32.5703125" style="7" customWidth="1"/>
    <col min="11161" max="11161" width="6.5703125" style="7" customWidth="1"/>
    <col min="11162" max="11164" width="12.5703125" style="7" customWidth="1"/>
    <col min="11165" max="11175" width="0" style="7" hidden="1"/>
    <col min="11176" max="11176" width="8.5703125" style="7" customWidth="1"/>
    <col min="11177" max="11178" width="26.5703125" style="7" customWidth="1"/>
    <col min="11179" max="11179" width="12.5703125" style="7" customWidth="1"/>
    <col min="11180" max="11180" width="16.85546875" style="7" customWidth="1"/>
    <col min="11181" max="11181" width="6.5703125" style="7" customWidth="1"/>
    <col min="11182" max="11184" width="10.5703125" style="7" customWidth="1"/>
    <col min="11185" max="11185" width="20.85546875" style="7" customWidth="1"/>
    <col min="11186" max="11186" width="32.42578125" style="7" customWidth="1"/>
    <col min="11187" max="11411" width="9.140625" style="7" customWidth="1"/>
    <col min="11412" max="11412" width="14.5703125" style="7" customWidth="1"/>
    <col min="11413" max="11415" width="26.5703125" style="7" customWidth="1"/>
    <col min="11416" max="11416" width="32.5703125" style="7" customWidth="1"/>
    <col min="11417" max="11417" width="6.5703125" style="7" customWidth="1"/>
    <col min="11418" max="11420" width="12.5703125" style="7" customWidth="1"/>
    <col min="11421" max="11431" width="0" style="7" hidden="1"/>
    <col min="11432" max="11432" width="8.5703125" style="7" customWidth="1"/>
    <col min="11433" max="11434" width="26.5703125" style="7" customWidth="1"/>
    <col min="11435" max="11435" width="12.5703125" style="7" customWidth="1"/>
    <col min="11436" max="11436" width="16.85546875" style="7" customWidth="1"/>
    <col min="11437" max="11437" width="6.5703125" style="7" customWidth="1"/>
    <col min="11438" max="11440" width="10.5703125" style="7" customWidth="1"/>
    <col min="11441" max="11441" width="20.85546875" style="7" customWidth="1"/>
    <col min="11442" max="11442" width="32.42578125" style="7" customWidth="1"/>
    <col min="11443" max="11667" width="9.140625" style="7" customWidth="1"/>
    <col min="11668" max="11668" width="14.5703125" style="7" customWidth="1"/>
    <col min="11669" max="11671" width="26.5703125" style="7" customWidth="1"/>
    <col min="11672" max="11672" width="32.5703125" style="7" customWidth="1"/>
    <col min="11673" max="11673" width="6.5703125" style="7" customWidth="1"/>
    <col min="11674" max="11676" width="12.5703125" style="7" customWidth="1"/>
    <col min="11677" max="11687" width="0" style="7" hidden="1"/>
    <col min="11688" max="11688" width="8.5703125" style="7" customWidth="1"/>
    <col min="11689" max="11690" width="26.5703125" style="7" customWidth="1"/>
    <col min="11691" max="11691" width="12.5703125" style="7" customWidth="1"/>
    <col min="11692" max="11692" width="16.85546875" style="7" customWidth="1"/>
    <col min="11693" max="11693" width="6.5703125" style="7" customWidth="1"/>
    <col min="11694" max="11696" width="10.5703125" style="7" customWidth="1"/>
    <col min="11697" max="11697" width="20.85546875" style="7" customWidth="1"/>
    <col min="11698" max="11698" width="32.42578125" style="7" customWidth="1"/>
    <col min="11699" max="11923" width="9.140625" style="7" customWidth="1"/>
    <col min="11924" max="11924" width="14.5703125" style="7" customWidth="1"/>
    <col min="11925" max="11927" width="26.5703125" style="7" customWidth="1"/>
    <col min="11928" max="11928" width="32.5703125" style="7" customWidth="1"/>
    <col min="11929" max="11929" width="6.5703125" style="7" customWidth="1"/>
    <col min="11930" max="11932" width="12.5703125" style="7" customWidth="1"/>
    <col min="11933" max="11943" width="0" style="7" hidden="1"/>
    <col min="11944" max="11944" width="8.5703125" style="7" customWidth="1"/>
    <col min="11945" max="11946" width="26.5703125" style="7" customWidth="1"/>
    <col min="11947" max="11947" width="12.5703125" style="7" customWidth="1"/>
    <col min="11948" max="11948" width="16.85546875" style="7" customWidth="1"/>
    <col min="11949" max="11949" width="6.5703125" style="7" customWidth="1"/>
    <col min="11950" max="11952" width="10.5703125" style="7" customWidth="1"/>
    <col min="11953" max="11953" width="20.85546875" style="7" customWidth="1"/>
    <col min="11954" max="11954" width="32.42578125" style="7" customWidth="1"/>
    <col min="11955" max="12179" width="9.140625" style="7" customWidth="1"/>
    <col min="12180" max="12180" width="14.5703125" style="7" customWidth="1"/>
    <col min="12181" max="12183" width="26.5703125" style="7" customWidth="1"/>
    <col min="12184" max="12184" width="32.5703125" style="7" customWidth="1"/>
    <col min="12185" max="12185" width="6.5703125" style="7" customWidth="1"/>
    <col min="12186" max="12188" width="12.5703125" style="7" customWidth="1"/>
    <col min="12189" max="12199" width="0" style="7" hidden="1"/>
    <col min="12200" max="12200" width="8.5703125" style="7" customWidth="1"/>
    <col min="12201" max="12202" width="26.5703125" style="7" customWidth="1"/>
    <col min="12203" max="12203" width="12.5703125" style="7" customWidth="1"/>
    <col min="12204" max="12204" width="16.85546875" style="7" customWidth="1"/>
    <col min="12205" max="12205" width="6.5703125" style="7" customWidth="1"/>
    <col min="12206" max="12208" width="10.5703125" style="7" customWidth="1"/>
    <col min="12209" max="12209" width="20.85546875" style="7" customWidth="1"/>
    <col min="12210" max="12210" width="32.42578125" style="7" customWidth="1"/>
    <col min="12211" max="12435" width="9.140625" style="7" customWidth="1"/>
    <col min="12436" max="12436" width="14.5703125" style="7" customWidth="1"/>
    <col min="12437" max="12439" width="26.5703125" style="7" customWidth="1"/>
    <col min="12440" max="12440" width="32.5703125" style="7" customWidth="1"/>
    <col min="12441" max="12441" width="6.5703125" style="7" customWidth="1"/>
    <col min="12442" max="12444" width="12.5703125" style="7" customWidth="1"/>
    <col min="12445" max="12455" width="0" style="7" hidden="1"/>
    <col min="12456" max="12456" width="8.5703125" style="7" customWidth="1"/>
    <col min="12457" max="12458" width="26.5703125" style="7" customWidth="1"/>
    <col min="12459" max="12459" width="12.5703125" style="7" customWidth="1"/>
    <col min="12460" max="12460" width="16.85546875" style="7" customWidth="1"/>
    <col min="12461" max="12461" width="6.5703125" style="7" customWidth="1"/>
    <col min="12462" max="12464" width="10.5703125" style="7" customWidth="1"/>
    <col min="12465" max="12465" width="20.85546875" style="7" customWidth="1"/>
    <col min="12466" max="12466" width="32.42578125" style="7" customWidth="1"/>
    <col min="12467" max="12691" width="9.140625" style="7" customWidth="1"/>
    <col min="12692" max="12692" width="14.5703125" style="7" customWidth="1"/>
    <col min="12693" max="12695" width="26.5703125" style="7" customWidth="1"/>
    <col min="12696" max="12696" width="32.5703125" style="7" customWidth="1"/>
    <col min="12697" max="12697" width="6.5703125" style="7" customWidth="1"/>
    <col min="12698" max="12700" width="12.5703125" style="7" customWidth="1"/>
    <col min="12701" max="12711" width="0" style="7" hidden="1"/>
    <col min="12712" max="12712" width="8.5703125" style="7" customWidth="1"/>
    <col min="12713" max="12714" width="26.5703125" style="7" customWidth="1"/>
    <col min="12715" max="12715" width="12.5703125" style="7" customWidth="1"/>
    <col min="12716" max="12716" width="16.85546875" style="7" customWidth="1"/>
    <col min="12717" max="12717" width="6.5703125" style="7" customWidth="1"/>
    <col min="12718" max="12720" width="10.5703125" style="7" customWidth="1"/>
    <col min="12721" max="12721" width="20.85546875" style="7" customWidth="1"/>
    <col min="12722" max="12722" width="32.42578125" style="7" customWidth="1"/>
    <col min="12723" max="12947" width="9.140625" style="7" customWidth="1"/>
    <col min="12948" max="12948" width="14.5703125" style="7" customWidth="1"/>
    <col min="12949" max="12951" width="26.5703125" style="7" customWidth="1"/>
    <col min="12952" max="12952" width="32.5703125" style="7" customWidth="1"/>
    <col min="12953" max="12953" width="6.5703125" style="7" customWidth="1"/>
    <col min="12954" max="12956" width="12.5703125" style="7" customWidth="1"/>
    <col min="12957" max="12967" width="0" style="7" hidden="1"/>
    <col min="12968" max="12968" width="8.5703125" style="7" customWidth="1"/>
    <col min="12969" max="12970" width="26.5703125" style="7" customWidth="1"/>
    <col min="12971" max="12971" width="12.5703125" style="7" customWidth="1"/>
    <col min="12972" max="12972" width="16.85546875" style="7" customWidth="1"/>
    <col min="12973" max="12973" width="6.5703125" style="7" customWidth="1"/>
    <col min="12974" max="12976" width="10.5703125" style="7" customWidth="1"/>
    <col min="12977" max="12977" width="20.85546875" style="7" customWidth="1"/>
    <col min="12978" max="12978" width="32.42578125" style="7" customWidth="1"/>
    <col min="12979" max="13203" width="9.140625" style="7" customWidth="1"/>
    <col min="13204" max="13204" width="14.5703125" style="7" customWidth="1"/>
    <col min="13205" max="13207" width="26.5703125" style="7" customWidth="1"/>
    <col min="13208" max="13208" width="32.5703125" style="7" customWidth="1"/>
    <col min="13209" max="13209" width="6.5703125" style="7" customWidth="1"/>
    <col min="13210" max="13212" width="12.5703125" style="7" customWidth="1"/>
    <col min="13213" max="13223" width="0" style="7" hidden="1"/>
    <col min="13224" max="13224" width="8.5703125" style="7" customWidth="1"/>
    <col min="13225" max="13226" width="26.5703125" style="7" customWidth="1"/>
    <col min="13227" max="13227" width="12.5703125" style="7" customWidth="1"/>
    <col min="13228" max="13228" width="16.85546875" style="7" customWidth="1"/>
    <col min="13229" max="13229" width="6.5703125" style="7" customWidth="1"/>
    <col min="13230" max="13232" width="10.5703125" style="7" customWidth="1"/>
    <col min="13233" max="13233" width="20.85546875" style="7" customWidth="1"/>
    <col min="13234" max="13234" width="32.42578125" style="7" customWidth="1"/>
    <col min="13235" max="13459" width="9.140625" style="7" customWidth="1"/>
    <col min="13460" max="13460" width="14.5703125" style="7" customWidth="1"/>
    <col min="13461" max="13463" width="26.5703125" style="7" customWidth="1"/>
    <col min="13464" max="13464" width="32.5703125" style="7" customWidth="1"/>
    <col min="13465" max="13465" width="6.5703125" style="7" customWidth="1"/>
    <col min="13466" max="13468" width="12.5703125" style="7" customWidth="1"/>
    <col min="13469" max="13479" width="0" style="7" hidden="1"/>
    <col min="13480" max="13480" width="8.5703125" style="7" customWidth="1"/>
    <col min="13481" max="13482" width="26.5703125" style="7" customWidth="1"/>
    <col min="13483" max="13483" width="12.5703125" style="7" customWidth="1"/>
    <col min="13484" max="13484" width="16.85546875" style="7" customWidth="1"/>
    <col min="13485" max="13485" width="6.5703125" style="7" customWidth="1"/>
    <col min="13486" max="13488" width="10.5703125" style="7" customWidth="1"/>
    <col min="13489" max="13489" width="20.85546875" style="7" customWidth="1"/>
    <col min="13490" max="13490" width="32.42578125" style="7" customWidth="1"/>
    <col min="13491" max="13715" width="9.140625" style="7" customWidth="1"/>
    <col min="13716" max="13716" width="14.5703125" style="7" customWidth="1"/>
    <col min="13717" max="13719" width="26.5703125" style="7" customWidth="1"/>
    <col min="13720" max="13720" width="32.5703125" style="7" customWidth="1"/>
    <col min="13721" max="13721" width="6.5703125" style="7" customWidth="1"/>
    <col min="13722" max="13724" width="12.5703125" style="7" customWidth="1"/>
    <col min="13725" max="13735" width="0" style="7" hidden="1"/>
    <col min="13736" max="13736" width="8.5703125" style="7" customWidth="1"/>
    <col min="13737" max="13738" width="26.5703125" style="7" customWidth="1"/>
    <col min="13739" max="13739" width="12.5703125" style="7" customWidth="1"/>
    <col min="13740" max="13740" width="16.85546875" style="7" customWidth="1"/>
    <col min="13741" max="13741" width="6.5703125" style="7" customWidth="1"/>
    <col min="13742" max="13744" width="10.5703125" style="7" customWidth="1"/>
    <col min="13745" max="13745" width="20.85546875" style="7" customWidth="1"/>
    <col min="13746" max="13746" width="32.42578125" style="7" customWidth="1"/>
    <col min="13747" max="13971" width="9.140625" style="7" customWidth="1"/>
    <col min="13972" max="13972" width="14.5703125" style="7" customWidth="1"/>
    <col min="13973" max="13975" width="26.5703125" style="7" customWidth="1"/>
    <col min="13976" max="13976" width="32.5703125" style="7" customWidth="1"/>
    <col min="13977" max="13977" width="6.5703125" style="7" customWidth="1"/>
    <col min="13978" max="13980" width="12.5703125" style="7" customWidth="1"/>
    <col min="13981" max="13991" width="0" style="7" hidden="1"/>
    <col min="13992" max="13992" width="8.5703125" style="7" customWidth="1"/>
    <col min="13993" max="13994" width="26.5703125" style="7" customWidth="1"/>
    <col min="13995" max="13995" width="12.5703125" style="7" customWidth="1"/>
    <col min="13996" max="13996" width="16.85546875" style="7" customWidth="1"/>
    <col min="13997" max="13997" width="6.5703125" style="7" customWidth="1"/>
    <col min="13998" max="14000" width="10.5703125" style="7" customWidth="1"/>
    <col min="14001" max="14001" width="20.85546875" style="7" customWidth="1"/>
    <col min="14002" max="14002" width="32.42578125" style="7" customWidth="1"/>
    <col min="14003" max="14227" width="9.140625" style="7" customWidth="1"/>
    <col min="14228" max="14228" width="14.5703125" style="7" customWidth="1"/>
    <col min="14229" max="14231" width="26.5703125" style="7" customWidth="1"/>
    <col min="14232" max="14232" width="32.5703125" style="7" customWidth="1"/>
    <col min="14233" max="14233" width="6.5703125" style="7" customWidth="1"/>
    <col min="14234" max="14236" width="12.5703125" style="7" customWidth="1"/>
    <col min="14237" max="14247" width="0" style="7" hidden="1"/>
    <col min="14248" max="14248" width="8.5703125" style="7" customWidth="1"/>
    <col min="14249" max="14250" width="26.5703125" style="7" customWidth="1"/>
    <col min="14251" max="14251" width="12.5703125" style="7" customWidth="1"/>
    <col min="14252" max="14252" width="16.85546875" style="7" customWidth="1"/>
    <col min="14253" max="14253" width="6.5703125" style="7" customWidth="1"/>
    <col min="14254" max="14256" width="10.5703125" style="7" customWidth="1"/>
    <col min="14257" max="14257" width="20.85546875" style="7" customWidth="1"/>
    <col min="14258" max="14258" width="32.42578125" style="7" customWidth="1"/>
    <col min="14259" max="14483" width="9.140625" style="7" customWidth="1"/>
    <col min="14484" max="14484" width="14.5703125" style="7" customWidth="1"/>
    <col min="14485" max="14487" width="26.5703125" style="7" customWidth="1"/>
    <col min="14488" max="14488" width="32.5703125" style="7" customWidth="1"/>
    <col min="14489" max="14489" width="6.5703125" style="7" customWidth="1"/>
    <col min="14490" max="14492" width="12.5703125" style="7" customWidth="1"/>
    <col min="14493" max="14503" width="0" style="7" hidden="1"/>
    <col min="14504" max="14504" width="8.5703125" style="7" customWidth="1"/>
    <col min="14505" max="14506" width="26.5703125" style="7" customWidth="1"/>
    <col min="14507" max="14507" width="12.5703125" style="7" customWidth="1"/>
    <col min="14508" max="14508" width="16.85546875" style="7" customWidth="1"/>
    <col min="14509" max="14509" width="6.5703125" style="7" customWidth="1"/>
    <col min="14510" max="14512" width="10.5703125" style="7" customWidth="1"/>
    <col min="14513" max="14513" width="20.85546875" style="7" customWidth="1"/>
    <col min="14514" max="14514" width="32.42578125" style="7" customWidth="1"/>
    <col min="14515" max="14739" width="9.140625" style="7" customWidth="1"/>
    <col min="14740" max="14740" width="14.5703125" style="7" customWidth="1"/>
    <col min="14741" max="14743" width="26.5703125" style="7" customWidth="1"/>
    <col min="14744" max="14744" width="32.5703125" style="7" customWidth="1"/>
    <col min="14745" max="14745" width="6.5703125" style="7" customWidth="1"/>
    <col min="14746" max="14748" width="12.5703125" style="7" customWidth="1"/>
    <col min="14749" max="14759" width="0" style="7" hidden="1"/>
    <col min="14760" max="14760" width="8.5703125" style="7" customWidth="1"/>
    <col min="14761" max="14762" width="26.5703125" style="7" customWidth="1"/>
    <col min="14763" max="14763" width="12.5703125" style="7" customWidth="1"/>
    <col min="14764" max="14764" width="16.85546875" style="7" customWidth="1"/>
    <col min="14765" max="14765" width="6.5703125" style="7" customWidth="1"/>
    <col min="14766" max="14768" width="10.5703125" style="7" customWidth="1"/>
    <col min="14769" max="14769" width="20.85546875" style="7" customWidth="1"/>
    <col min="14770" max="14770" width="32.42578125" style="7" customWidth="1"/>
    <col min="14771" max="14995" width="9.140625" style="7" customWidth="1"/>
    <col min="14996" max="14996" width="14.5703125" style="7" customWidth="1"/>
    <col min="14997" max="14999" width="26.5703125" style="7" customWidth="1"/>
    <col min="15000" max="15000" width="32.5703125" style="7" customWidth="1"/>
    <col min="15001" max="15001" width="6.5703125" style="7" customWidth="1"/>
    <col min="15002" max="15004" width="12.5703125" style="7" customWidth="1"/>
    <col min="15005" max="15015" width="0" style="7" hidden="1"/>
    <col min="15016" max="15016" width="8.5703125" style="7" customWidth="1"/>
    <col min="15017" max="15018" width="26.5703125" style="7" customWidth="1"/>
    <col min="15019" max="15019" width="12.5703125" style="7" customWidth="1"/>
    <col min="15020" max="15020" width="16.85546875" style="7" customWidth="1"/>
    <col min="15021" max="15021" width="6.5703125" style="7" customWidth="1"/>
    <col min="15022" max="15024" width="10.5703125" style="7" customWidth="1"/>
    <col min="15025" max="15025" width="20.85546875" style="7" customWidth="1"/>
    <col min="15026" max="15026" width="32.42578125" style="7" customWidth="1"/>
    <col min="15027" max="15251" width="9.140625" style="7" customWidth="1"/>
    <col min="15252" max="15252" width="14.5703125" style="7" customWidth="1"/>
    <col min="15253" max="15255" width="26.5703125" style="7" customWidth="1"/>
    <col min="15256" max="15256" width="32.5703125" style="7" customWidth="1"/>
    <col min="15257" max="15257" width="6.5703125" style="7" customWidth="1"/>
    <col min="15258" max="15260" width="12.5703125" style="7" customWidth="1"/>
    <col min="15261" max="15271" width="0" style="7" hidden="1"/>
    <col min="15272" max="15272" width="8.5703125" style="7" customWidth="1"/>
    <col min="15273" max="15274" width="26.5703125" style="7" customWidth="1"/>
    <col min="15275" max="15275" width="12.5703125" style="7" customWidth="1"/>
    <col min="15276" max="15276" width="16.85546875" style="7" customWidth="1"/>
    <col min="15277" max="15277" width="6.5703125" style="7" customWidth="1"/>
    <col min="15278" max="15280" width="10.5703125" style="7" customWidth="1"/>
    <col min="15281" max="15281" width="20.85546875" style="7" customWidth="1"/>
    <col min="15282" max="15282" width="32.42578125" style="7" customWidth="1"/>
    <col min="15283" max="15507" width="9.140625" style="7" customWidth="1"/>
    <col min="15508" max="15508" width="14.5703125" style="7" customWidth="1"/>
    <col min="15509" max="15511" width="26.5703125" style="7" customWidth="1"/>
    <col min="15512" max="15512" width="32.5703125" style="7" customWidth="1"/>
    <col min="15513" max="15513" width="6.5703125" style="7" customWidth="1"/>
    <col min="15514" max="15516" width="12.5703125" style="7" customWidth="1"/>
    <col min="15517" max="15527" width="0" style="7" hidden="1"/>
    <col min="15528" max="15528" width="8.5703125" style="7" customWidth="1"/>
    <col min="15529" max="15530" width="26.5703125" style="7" customWidth="1"/>
    <col min="15531" max="15531" width="12.5703125" style="7" customWidth="1"/>
    <col min="15532" max="15532" width="16.85546875" style="7" customWidth="1"/>
    <col min="15533" max="15533" width="6.5703125" style="7" customWidth="1"/>
    <col min="15534" max="15536" width="10.5703125" style="7" customWidth="1"/>
    <col min="15537" max="15537" width="20.85546875" style="7" customWidth="1"/>
    <col min="15538" max="15538" width="32.42578125" style="7" customWidth="1"/>
    <col min="15539" max="15763" width="9.140625" style="7" customWidth="1"/>
    <col min="15764" max="15764" width="14.5703125" style="7" customWidth="1"/>
    <col min="15765" max="15767" width="26.5703125" style="7" customWidth="1"/>
    <col min="15768" max="15768" width="32.5703125" style="7" customWidth="1"/>
    <col min="15769" max="15769" width="6.5703125" style="7" customWidth="1"/>
    <col min="15770" max="15772" width="12.5703125" style="7" customWidth="1"/>
    <col min="15773" max="15783" width="0" style="7" hidden="1"/>
    <col min="15784" max="15784" width="8.5703125" style="7" customWidth="1"/>
    <col min="15785" max="15786" width="26.5703125" style="7" customWidth="1"/>
    <col min="15787" max="15787" width="12.5703125" style="7" customWidth="1"/>
    <col min="15788" max="15788" width="16.85546875" style="7" customWidth="1"/>
    <col min="15789" max="15789" width="6.5703125" style="7" customWidth="1"/>
    <col min="15790" max="15792" width="10.5703125" style="7" customWidth="1"/>
    <col min="15793" max="15793" width="20.85546875" style="7" customWidth="1"/>
    <col min="15794" max="15794" width="32.42578125" style="7" customWidth="1"/>
    <col min="15795" max="16019" width="9.140625" style="7" customWidth="1"/>
    <col min="16020" max="16020" width="14.5703125" style="7" customWidth="1"/>
    <col min="16021" max="16023" width="26.5703125" style="7" customWidth="1"/>
    <col min="16024" max="16024" width="32.5703125" style="7" customWidth="1"/>
    <col min="16025" max="16025" width="6.5703125" style="7" customWidth="1"/>
    <col min="16026" max="16028" width="12.5703125" style="7" customWidth="1"/>
    <col min="16029" max="16039" width="0" style="7" hidden="1"/>
    <col min="16040" max="16040" width="8.5703125" style="7" customWidth="1"/>
    <col min="16041" max="16042" width="26.5703125" style="7" customWidth="1"/>
    <col min="16043" max="16043" width="12.5703125" style="7" customWidth="1"/>
    <col min="16044" max="16044" width="16.85546875" style="7" customWidth="1"/>
    <col min="16045" max="16045" width="6.5703125" style="7" customWidth="1"/>
    <col min="16046" max="16048" width="10.5703125" style="7" customWidth="1"/>
    <col min="16049" max="16049" width="20.85546875" style="7" customWidth="1"/>
    <col min="16050" max="16050" width="32.42578125" style="7" customWidth="1"/>
    <col min="16051" max="16384" width="9.140625" style="7" customWidth="1"/>
  </cols>
  <sheetData>
    <row r="1" spans="1:65" ht="25.5" customHeight="1" thickBot="1" x14ac:dyDescent="0.3">
      <c r="A1" s="1"/>
      <c r="B1" s="2"/>
      <c r="E1" s="2"/>
      <c r="F1" s="5"/>
      <c r="G1" s="5"/>
      <c r="H1" s="6"/>
      <c r="I1" s="114" t="s">
        <v>65</v>
      </c>
      <c r="J1" s="114"/>
      <c r="K1" s="114"/>
      <c r="L1" s="114"/>
      <c r="M1" s="114"/>
      <c r="N1" s="114"/>
      <c r="O1" s="11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65" s="13" customFormat="1" ht="45" customHeight="1" thickBot="1" x14ac:dyDescent="0.25">
      <c r="A2" s="8" t="s">
        <v>0</v>
      </c>
      <c r="B2" s="9" t="s">
        <v>1</v>
      </c>
      <c r="C2" s="9" t="s">
        <v>2</v>
      </c>
      <c r="D2" s="10" t="s">
        <v>49</v>
      </c>
      <c r="E2" s="9" t="s">
        <v>3</v>
      </c>
      <c r="F2" s="11" t="s">
        <v>50</v>
      </c>
      <c r="G2" s="11" t="s">
        <v>51</v>
      </c>
      <c r="H2" s="12" t="s">
        <v>57</v>
      </c>
      <c r="I2" s="113" t="s">
        <v>58</v>
      </c>
      <c r="J2" s="113" t="s">
        <v>59</v>
      </c>
      <c r="K2" s="113" t="s">
        <v>60</v>
      </c>
      <c r="L2" s="113" t="s">
        <v>61</v>
      </c>
      <c r="M2" s="113" t="s">
        <v>62</v>
      </c>
      <c r="N2" s="113" t="s">
        <v>63</v>
      </c>
      <c r="O2" s="113" t="s">
        <v>64</v>
      </c>
      <c r="P2" s="12" t="s">
        <v>66</v>
      </c>
      <c r="Q2" s="12" t="s">
        <v>67</v>
      </c>
      <c r="R2" s="12" t="s">
        <v>68</v>
      </c>
      <c r="S2" s="12" t="s">
        <v>69</v>
      </c>
      <c r="T2" s="12" t="s">
        <v>70</v>
      </c>
      <c r="U2" s="12" t="s">
        <v>71</v>
      </c>
      <c r="V2" s="12" t="s">
        <v>72</v>
      </c>
      <c r="W2" s="12" t="s">
        <v>73</v>
      </c>
      <c r="X2" s="12" t="s">
        <v>74</v>
      </c>
      <c r="Y2" s="12" t="s">
        <v>75</v>
      </c>
      <c r="Z2" s="12" t="s">
        <v>76</v>
      </c>
      <c r="AA2" s="12" t="s">
        <v>77</v>
      </c>
      <c r="AB2" s="12" t="s">
        <v>78</v>
      </c>
      <c r="AC2" s="12" t="s">
        <v>79</v>
      </c>
      <c r="AD2" s="12" t="s">
        <v>80</v>
      </c>
      <c r="AE2" s="12" t="s">
        <v>81</v>
      </c>
      <c r="AF2" s="12" t="s">
        <v>82</v>
      </c>
      <c r="AG2" s="12" t="s">
        <v>47</v>
      </c>
    </row>
    <row r="3" spans="1:65" ht="15" customHeight="1" thickBot="1" x14ac:dyDescent="0.3">
      <c r="A3" s="14" t="s">
        <v>4</v>
      </c>
      <c r="B3" s="15"/>
      <c r="C3" s="16"/>
      <c r="D3" s="17"/>
      <c r="E3" s="16"/>
      <c r="F3" s="18"/>
      <c r="G3" s="19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spans="1:65" x14ac:dyDescent="0.25">
      <c r="A4" s="21" t="s">
        <v>5</v>
      </c>
      <c r="B4" s="22" t="s">
        <v>6</v>
      </c>
      <c r="C4" s="23" t="s">
        <v>53</v>
      </c>
      <c r="D4" s="24"/>
      <c r="E4" s="25" t="s">
        <v>22</v>
      </c>
      <c r="F4" s="26">
        <v>500</v>
      </c>
      <c r="G4" s="26">
        <v>550</v>
      </c>
      <c r="H4" s="27">
        <f>2000/15.42</f>
        <v>129.70168612191958</v>
      </c>
      <c r="I4" s="27">
        <v>50</v>
      </c>
      <c r="J4" s="27">
        <v>600</v>
      </c>
      <c r="K4" s="27">
        <v>52</v>
      </c>
      <c r="L4" s="27">
        <v>52</v>
      </c>
      <c r="M4" s="27">
        <v>20</v>
      </c>
      <c r="N4" s="27">
        <v>100</v>
      </c>
      <c r="O4" s="27">
        <v>50</v>
      </c>
      <c r="P4" s="27">
        <f>22.7*12</f>
        <v>272.39999999999998</v>
      </c>
      <c r="Q4" s="27">
        <f>2000/15.42</f>
        <v>129.70168612191958</v>
      </c>
      <c r="R4" s="27">
        <f>G4</f>
        <v>550</v>
      </c>
      <c r="S4" s="27">
        <f>900+900</f>
        <v>1800</v>
      </c>
      <c r="T4" s="27">
        <v>600</v>
      </c>
      <c r="U4" s="27"/>
      <c r="V4" s="27"/>
      <c r="W4" s="27"/>
      <c r="X4" s="27"/>
      <c r="Y4" s="27"/>
      <c r="Z4" s="27"/>
      <c r="AA4" s="27">
        <f>7*365</f>
        <v>2555</v>
      </c>
      <c r="AB4" s="27"/>
      <c r="AC4" s="27">
        <f>3000/15.42</f>
        <v>194.55252918287937</v>
      </c>
      <c r="AD4" s="27">
        <v>1100</v>
      </c>
      <c r="AE4" s="27">
        <f>200*12</f>
        <v>2400</v>
      </c>
      <c r="AF4" s="27">
        <v>1200</v>
      </c>
      <c r="AG4" s="27">
        <f>SUM(G4:AF4)</f>
        <v>12405.355901426719</v>
      </c>
    </row>
    <row r="5" spans="1:65" x14ac:dyDescent="0.25">
      <c r="A5" s="28" t="s">
        <v>8</v>
      </c>
      <c r="B5" s="29" t="s">
        <v>9</v>
      </c>
      <c r="C5" s="30" t="s">
        <v>24</v>
      </c>
      <c r="D5" s="31"/>
      <c r="E5" s="25" t="s">
        <v>7</v>
      </c>
      <c r="F5" s="32">
        <v>200</v>
      </c>
      <c r="G5" s="32">
        <v>250</v>
      </c>
      <c r="H5" s="27"/>
      <c r="I5" s="27"/>
      <c r="J5" s="27">
        <v>300</v>
      </c>
      <c r="K5" s="27"/>
      <c r="L5" s="27"/>
      <c r="M5" s="27">
        <v>20</v>
      </c>
      <c r="N5" s="27">
        <v>100</v>
      </c>
      <c r="O5" s="27"/>
      <c r="P5" s="27"/>
      <c r="Q5" s="27">
        <f t="shared" ref="Q5:Q11" si="0">2000/15.42</f>
        <v>129.70168612191958</v>
      </c>
      <c r="R5" s="27">
        <f t="shared" ref="R5:R11" si="1">G5</f>
        <v>250</v>
      </c>
      <c r="S5" s="27">
        <f>750+750</f>
        <v>1500</v>
      </c>
      <c r="T5" s="27"/>
      <c r="U5" s="27">
        <v>300</v>
      </c>
      <c r="V5" s="27"/>
      <c r="W5" s="27"/>
      <c r="X5" s="27">
        <f t="shared" ref="X5:X11" si="2">G5*7/100</f>
        <v>17.5</v>
      </c>
      <c r="Y5" s="27"/>
      <c r="Z5" s="27"/>
      <c r="AA5" s="27">
        <f t="shared" ref="AA5:AA11" si="3">7*365</f>
        <v>2555</v>
      </c>
      <c r="AB5" s="27"/>
      <c r="AC5" s="27">
        <f t="shared" ref="AC5:AC10" si="4">3000/15.42</f>
        <v>194.55252918287937</v>
      </c>
      <c r="AD5" s="27">
        <f>G5*2</f>
        <v>500</v>
      </c>
      <c r="AE5" s="27">
        <f t="shared" ref="AE5" si="5">200*12</f>
        <v>2400</v>
      </c>
      <c r="AF5" s="27">
        <v>1200</v>
      </c>
      <c r="AG5" s="27">
        <f t="shared" ref="AG5:AG11" si="6">SUM(G5:AF5)</f>
        <v>9716.754215304798</v>
      </c>
    </row>
    <row r="6" spans="1:65" x14ac:dyDescent="0.25">
      <c r="A6" s="34" t="s">
        <v>5</v>
      </c>
      <c r="B6" s="35" t="s">
        <v>10</v>
      </c>
      <c r="C6" s="36" t="s">
        <v>55</v>
      </c>
      <c r="D6" s="37"/>
      <c r="E6" s="38" t="s">
        <v>23</v>
      </c>
      <c r="F6" s="39">
        <v>200</v>
      </c>
      <c r="G6" s="39">
        <v>250</v>
      </c>
      <c r="H6" s="27">
        <f t="shared" ref="H6:H11" si="7">2000/15.42</f>
        <v>129.70168612191958</v>
      </c>
      <c r="I6" s="27">
        <v>50</v>
      </c>
      <c r="J6" s="27">
        <v>600</v>
      </c>
      <c r="K6" s="27">
        <v>52</v>
      </c>
      <c r="L6" s="27">
        <v>52</v>
      </c>
      <c r="M6" s="27">
        <v>20</v>
      </c>
      <c r="N6" s="27">
        <v>100</v>
      </c>
      <c r="O6" s="27">
        <v>50</v>
      </c>
      <c r="P6" s="27">
        <f t="shared" ref="P6:P11" si="8">22.7*12</f>
        <v>272.39999999999998</v>
      </c>
      <c r="Q6" s="27">
        <f t="shared" si="0"/>
        <v>129.70168612191958</v>
      </c>
      <c r="R6" s="27">
        <f t="shared" si="1"/>
        <v>250</v>
      </c>
      <c r="S6" s="27"/>
      <c r="T6" s="27">
        <v>600</v>
      </c>
      <c r="U6" s="27"/>
      <c r="V6" s="27">
        <f t="shared" ref="V6:V11" si="9">G6*12/365/8*1.25*2*360</f>
        <v>924.65753424657544</v>
      </c>
      <c r="W6" s="27">
        <f t="shared" ref="W6:W11" si="10">G6*12/365/8*1.5*320</f>
        <v>493.15068493150693</v>
      </c>
      <c r="X6" s="27"/>
      <c r="Y6" s="27">
        <v>600</v>
      </c>
      <c r="Z6" s="27">
        <v>600</v>
      </c>
      <c r="AA6" s="27">
        <f t="shared" si="3"/>
        <v>2555</v>
      </c>
      <c r="AB6" s="27">
        <f t="shared" ref="AB6:AB11" si="11">40*12</f>
        <v>480</v>
      </c>
      <c r="AC6" s="27"/>
      <c r="AD6" s="27">
        <f>G6</f>
        <v>250</v>
      </c>
      <c r="AE6" s="27"/>
      <c r="AF6" s="27"/>
      <c r="AG6" s="27">
        <f t="shared" si="6"/>
        <v>8458.6115914219208</v>
      </c>
    </row>
    <row r="7" spans="1:65" x14ac:dyDescent="0.25">
      <c r="A7" s="34" t="s">
        <v>5</v>
      </c>
      <c r="B7" s="35" t="s">
        <v>11</v>
      </c>
      <c r="C7" s="36" t="s">
        <v>55</v>
      </c>
      <c r="D7" s="37"/>
      <c r="E7" s="25" t="s">
        <v>7</v>
      </c>
      <c r="F7" s="39">
        <v>200</v>
      </c>
      <c r="G7" s="39">
        <v>250</v>
      </c>
      <c r="H7" s="27"/>
      <c r="I7" s="27"/>
      <c r="J7" s="27">
        <v>300</v>
      </c>
      <c r="K7" s="27"/>
      <c r="L7" s="27"/>
      <c r="M7" s="27"/>
      <c r="N7" s="27">
        <v>100</v>
      </c>
      <c r="O7" s="27"/>
      <c r="P7" s="27"/>
      <c r="Q7" s="27">
        <f t="shared" si="0"/>
        <v>129.70168612191958</v>
      </c>
      <c r="R7" s="27">
        <f t="shared" si="1"/>
        <v>250</v>
      </c>
      <c r="S7" s="27"/>
      <c r="T7" s="27"/>
      <c r="U7" s="27">
        <v>300</v>
      </c>
      <c r="V7" s="27">
        <f t="shared" si="9"/>
        <v>924.65753424657544</v>
      </c>
      <c r="W7" s="27">
        <f t="shared" si="10"/>
        <v>493.15068493150693</v>
      </c>
      <c r="X7" s="27">
        <f t="shared" si="2"/>
        <v>17.5</v>
      </c>
      <c r="Y7" s="27"/>
      <c r="Z7" s="27">
        <v>600</v>
      </c>
      <c r="AA7" s="27">
        <f t="shared" si="3"/>
        <v>2555</v>
      </c>
      <c r="AB7" s="27">
        <f t="shared" si="11"/>
        <v>480</v>
      </c>
      <c r="AC7" s="27">
        <f t="shared" si="4"/>
        <v>194.55252918287937</v>
      </c>
      <c r="AD7" s="27">
        <f t="shared" ref="AD7:AD11" si="12">G7</f>
        <v>250</v>
      </c>
      <c r="AE7" s="27"/>
      <c r="AF7" s="27"/>
      <c r="AG7" s="27">
        <f t="shared" si="6"/>
        <v>6844.5624344828802</v>
      </c>
    </row>
    <row r="8" spans="1:65" x14ac:dyDescent="0.25">
      <c r="A8" s="34" t="s">
        <v>5</v>
      </c>
      <c r="B8" s="35" t="s">
        <v>12</v>
      </c>
      <c r="C8" s="36" t="s">
        <v>55</v>
      </c>
      <c r="D8" s="37"/>
      <c r="E8" s="38" t="s">
        <v>7</v>
      </c>
      <c r="F8" s="39">
        <v>200</v>
      </c>
      <c r="G8" s="39">
        <v>250</v>
      </c>
      <c r="H8" s="27"/>
      <c r="I8" s="27"/>
      <c r="J8" s="27">
        <v>300</v>
      </c>
      <c r="K8" s="27"/>
      <c r="L8" s="27"/>
      <c r="M8" s="27"/>
      <c r="N8" s="27">
        <v>100</v>
      </c>
      <c r="O8" s="27"/>
      <c r="P8" s="27"/>
      <c r="Q8" s="27">
        <f t="shared" si="0"/>
        <v>129.70168612191958</v>
      </c>
      <c r="R8" s="27">
        <f t="shared" si="1"/>
        <v>250</v>
      </c>
      <c r="S8" s="27"/>
      <c r="T8" s="27"/>
      <c r="U8" s="27">
        <v>300</v>
      </c>
      <c r="V8" s="27">
        <f t="shared" si="9"/>
        <v>924.65753424657544</v>
      </c>
      <c r="W8" s="27">
        <f t="shared" si="10"/>
        <v>493.15068493150693</v>
      </c>
      <c r="X8" s="27">
        <f t="shared" si="2"/>
        <v>17.5</v>
      </c>
      <c r="Y8" s="27">
        <v>600</v>
      </c>
      <c r="Z8" s="27"/>
      <c r="AA8" s="27">
        <f t="shared" si="3"/>
        <v>2555</v>
      </c>
      <c r="AB8" s="27">
        <f t="shared" si="11"/>
        <v>480</v>
      </c>
      <c r="AC8" s="27">
        <f t="shared" si="4"/>
        <v>194.55252918287937</v>
      </c>
      <c r="AD8" s="27">
        <f t="shared" si="12"/>
        <v>250</v>
      </c>
      <c r="AE8" s="27"/>
      <c r="AF8" s="27"/>
      <c r="AG8" s="27">
        <f t="shared" si="6"/>
        <v>6844.5624344828802</v>
      </c>
    </row>
    <row r="9" spans="1:65" x14ac:dyDescent="0.25">
      <c r="A9" s="34" t="s">
        <v>8</v>
      </c>
      <c r="B9" s="35" t="s">
        <v>13</v>
      </c>
      <c r="C9" s="36" t="s">
        <v>55</v>
      </c>
      <c r="D9" s="37"/>
      <c r="E9" s="38" t="s">
        <v>25</v>
      </c>
      <c r="F9" s="39">
        <v>200</v>
      </c>
      <c r="G9" s="39">
        <v>250</v>
      </c>
      <c r="H9" s="27">
        <f t="shared" si="7"/>
        <v>129.70168612191958</v>
      </c>
      <c r="I9" s="27">
        <v>50</v>
      </c>
      <c r="J9" s="27">
        <v>600</v>
      </c>
      <c r="K9" s="27">
        <v>52</v>
      </c>
      <c r="L9" s="27">
        <v>52</v>
      </c>
      <c r="M9" s="27"/>
      <c r="N9" s="27">
        <v>100</v>
      </c>
      <c r="O9" s="27">
        <v>50</v>
      </c>
      <c r="P9" s="27">
        <f t="shared" si="8"/>
        <v>272.39999999999998</v>
      </c>
      <c r="Q9" s="27">
        <f t="shared" si="0"/>
        <v>129.70168612191958</v>
      </c>
      <c r="R9" s="27">
        <f t="shared" si="1"/>
        <v>250</v>
      </c>
      <c r="S9" s="27"/>
      <c r="T9" s="27">
        <v>600</v>
      </c>
      <c r="U9" s="27"/>
      <c r="V9" s="27">
        <f t="shared" si="9"/>
        <v>924.65753424657544</v>
      </c>
      <c r="W9" s="27">
        <f t="shared" si="10"/>
        <v>493.15068493150693</v>
      </c>
      <c r="X9" s="27"/>
      <c r="Y9" s="27"/>
      <c r="Z9" s="27"/>
      <c r="AA9" s="27">
        <f t="shared" si="3"/>
        <v>2555</v>
      </c>
      <c r="AB9" s="27">
        <f t="shared" si="11"/>
        <v>480</v>
      </c>
      <c r="AC9" s="27">
        <f t="shared" si="4"/>
        <v>194.55252918287937</v>
      </c>
      <c r="AD9" s="27">
        <f t="shared" si="12"/>
        <v>250</v>
      </c>
      <c r="AE9" s="27"/>
      <c r="AF9" s="27"/>
      <c r="AG9" s="27">
        <f t="shared" si="6"/>
        <v>7433.1641206047998</v>
      </c>
    </row>
    <row r="10" spans="1:65" x14ac:dyDescent="0.25">
      <c r="A10" s="34" t="s">
        <v>5</v>
      </c>
      <c r="B10" s="35" t="s">
        <v>14</v>
      </c>
      <c r="C10" s="36" t="s">
        <v>55</v>
      </c>
      <c r="D10" s="37"/>
      <c r="E10" s="38" t="s">
        <v>7</v>
      </c>
      <c r="F10" s="39">
        <v>200</v>
      </c>
      <c r="G10" s="39">
        <v>250</v>
      </c>
      <c r="H10" s="27"/>
      <c r="I10" s="27"/>
      <c r="J10" s="27">
        <v>300</v>
      </c>
      <c r="K10" s="27"/>
      <c r="L10" s="27"/>
      <c r="M10" s="27">
        <v>20</v>
      </c>
      <c r="N10" s="27">
        <v>100</v>
      </c>
      <c r="O10" s="27"/>
      <c r="P10" s="27"/>
      <c r="Q10" s="27">
        <f t="shared" si="0"/>
        <v>129.70168612191958</v>
      </c>
      <c r="R10" s="27">
        <f t="shared" si="1"/>
        <v>250</v>
      </c>
      <c r="S10" s="27"/>
      <c r="T10" s="27"/>
      <c r="U10" s="27">
        <v>300</v>
      </c>
      <c r="V10" s="27">
        <f t="shared" si="9"/>
        <v>924.65753424657544</v>
      </c>
      <c r="W10" s="27">
        <f t="shared" si="10"/>
        <v>493.15068493150693</v>
      </c>
      <c r="X10" s="27">
        <f t="shared" si="2"/>
        <v>17.5</v>
      </c>
      <c r="Y10" s="27">
        <v>600</v>
      </c>
      <c r="Z10" s="27">
        <v>600</v>
      </c>
      <c r="AA10" s="27">
        <f t="shared" si="3"/>
        <v>2555</v>
      </c>
      <c r="AB10" s="27">
        <f t="shared" si="11"/>
        <v>480</v>
      </c>
      <c r="AC10" s="27">
        <f t="shared" si="4"/>
        <v>194.55252918287937</v>
      </c>
      <c r="AD10" s="27">
        <f t="shared" si="12"/>
        <v>250</v>
      </c>
      <c r="AE10" s="27"/>
      <c r="AF10" s="27"/>
      <c r="AG10" s="27">
        <f t="shared" si="6"/>
        <v>7464.5624344828802</v>
      </c>
    </row>
    <row r="11" spans="1:65" ht="15.75" thickBot="1" x14ac:dyDescent="0.3">
      <c r="A11" s="40" t="s">
        <v>5</v>
      </c>
      <c r="B11" s="41" t="s">
        <v>15</v>
      </c>
      <c r="C11" s="36" t="s">
        <v>55</v>
      </c>
      <c r="D11" s="42"/>
      <c r="E11" s="43" t="s">
        <v>16</v>
      </c>
      <c r="F11" s="44">
        <v>200</v>
      </c>
      <c r="G11" s="44">
        <v>250</v>
      </c>
      <c r="H11" s="27">
        <f t="shared" si="7"/>
        <v>129.70168612191958</v>
      </c>
      <c r="I11" s="27">
        <v>50</v>
      </c>
      <c r="J11" s="27">
        <v>600</v>
      </c>
      <c r="K11" s="27">
        <v>52</v>
      </c>
      <c r="L11" s="27">
        <v>52</v>
      </c>
      <c r="M11" s="27">
        <v>20</v>
      </c>
      <c r="N11" s="27">
        <v>100</v>
      </c>
      <c r="O11" s="27">
        <v>50</v>
      </c>
      <c r="P11" s="27">
        <f t="shared" si="8"/>
        <v>272.39999999999998</v>
      </c>
      <c r="Q11" s="27">
        <f t="shared" si="0"/>
        <v>129.70168612191958</v>
      </c>
      <c r="R11" s="27">
        <f t="shared" si="1"/>
        <v>250</v>
      </c>
      <c r="S11" s="27">
        <f t="shared" ref="S11" si="13">900+900</f>
        <v>1800</v>
      </c>
      <c r="T11" s="27">
        <v>600</v>
      </c>
      <c r="U11" s="27"/>
      <c r="V11" s="27">
        <f t="shared" si="9"/>
        <v>924.65753424657544</v>
      </c>
      <c r="W11" s="27">
        <f t="shared" si="10"/>
        <v>493.15068493150693</v>
      </c>
      <c r="X11" s="27"/>
      <c r="Y11" s="27">
        <v>600</v>
      </c>
      <c r="Z11" s="27">
        <v>600</v>
      </c>
      <c r="AA11" s="27">
        <f t="shared" si="3"/>
        <v>2555</v>
      </c>
      <c r="AB11" s="27">
        <f t="shared" si="11"/>
        <v>480</v>
      </c>
      <c r="AC11" s="27"/>
      <c r="AD11" s="27">
        <f t="shared" si="12"/>
        <v>250</v>
      </c>
      <c r="AE11" s="27"/>
      <c r="AF11" s="27"/>
      <c r="AG11" s="27">
        <f t="shared" si="6"/>
        <v>10258.611591421923</v>
      </c>
    </row>
    <row r="12" spans="1:65" s="54" customFormat="1" x14ac:dyDescent="0.25">
      <c r="A12" s="46"/>
      <c r="B12" s="47"/>
      <c r="C12" s="48"/>
      <c r="D12" s="49"/>
      <c r="E12" s="50"/>
      <c r="F12" s="51">
        <f t="shared" ref="F12:K12" si="14">SUM(F4:F11)</f>
        <v>1900</v>
      </c>
      <c r="G12" s="51">
        <f t="shared" si="14"/>
        <v>2300</v>
      </c>
      <c r="H12" s="52">
        <f t="shared" si="14"/>
        <v>518.80674448767832</v>
      </c>
      <c r="I12" s="52">
        <f t="shared" si="14"/>
        <v>200</v>
      </c>
      <c r="J12" s="52">
        <f t="shared" si="14"/>
        <v>3600</v>
      </c>
      <c r="K12" s="52">
        <f t="shared" si="14"/>
        <v>208</v>
      </c>
      <c r="L12" s="52">
        <f t="shared" ref="L12:W12" si="15">SUM(L4:L11)</f>
        <v>208</v>
      </c>
      <c r="M12" s="52">
        <f t="shared" si="15"/>
        <v>100</v>
      </c>
      <c r="N12" s="52"/>
      <c r="O12" s="52">
        <f t="shared" si="15"/>
        <v>200</v>
      </c>
      <c r="P12" s="52">
        <f t="shared" si="15"/>
        <v>1089.5999999999999</v>
      </c>
      <c r="Q12" s="52">
        <f t="shared" si="15"/>
        <v>1037.6134889753566</v>
      </c>
      <c r="R12" s="52">
        <f t="shared" si="15"/>
        <v>2300</v>
      </c>
      <c r="S12" s="52">
        <f t="shared" si="15"/>
        <v>5100</v>
      </c>
      <c r="T12" s="52">
        <f t="shared" si="15"/>
        <v>2400</v>
      </c>
      <c r="U12" s="52">
        <f t="shared" si="15"/>
        <v>1200</v>
      </c>
      <c r="V12" s="52">
        <f t="shared" si="15"/>
        <v>5547.9452054794529</v>
      </c>
      <c r="W12" s="52">
        <f t="shared" si="15"/>
        <v>2958.9041095890416</v>
      </c>
      <c r="X12" s="52">
        <f t="shared" ref="X12:AA12" si="16">SUM(X4:X11)</f>
        <v>70</v>
      </c>
      <c r="Y12" s="52">
        <f t="shared" si="16"/>
        <v>2400</v>
      </c>
      <c r="Z12" s="52">
        <f t="shared" si="16"/>
        <v>2400</v>
      </c>
      <c r="AA12" s="52">
        <f t="shared" si="16"/>
        <v>20440</v>
      </c>
      <c r="AB12" s="52">
        <f t="shared" ref="AB12:AD12" si="17">SUM(AB4:AB11)</f>
        <v>2880</v>
      </c>
      <c r="AC12" s="52">
        <f t="shared" si="17"/>
        <v>1167.3151750972763</v>
      </c>
      <c r="AD12" s="52">
        <f t="shared" si="17"/>
        <v>3100</v>
      </c>
      <c r="AE12" s="52">
        <f t="shared" ref="AE12" si="18">SUM(AE4:AE11)</f>
        <v>4800</v>
      </c>
      <c r="AF12" s="52">
        <f>SUM(AF4:AF11)</f>
        <v>2400</v>
      </c>
      <c r="AG12" s="52">
        <f>SUM(AG4:AG11)</f>
        <v>69426.184723628816</v>
      </c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</row>
    <row r="13" spans="1:65" ht="15.75" thickBot="1" x14ac:dyDescent="0.3">
      <c r="A13" s="55"/>
      <c r="B13" s="56"/>
      <c r="C13" s="57"/>
      <c r="D13" s="58"/>
      <c r="E13" s="56"/>
      <c r="F13" s="59"/>
      <c r="G13" s="59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</row>
    <row r="14" spans="1:65" ht="15" customHeight="1" thickBot="1" x14ac:dyDescent="0.3">
      <c r="A14" s="61" t="s">
        <v>17</v>
      </c>
      <c r="B14" s="62"/>
      <c r="C14" s="63"/>
      <c r="D14" s="64"/>
      <c r="E14" s="65"/>
      <c r="F14" s="66"/>
      <c r="G14" s="66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</row>
    <row r="15" spans="1:65" ht="15.75" customHeight="1" x14ac:dyDescent="0.25">
      <c r="A15" s="68" t="s">
        <v>8</v>
      </c>
      <c r="B15" s="69" t="s">
        <v>18</v>
      </c>
      <c r="C15" s="70" t="s">
        <v>52</v>
      </c>
      <c r="D15" s="71"/>
      <c r="E15" s="72" t="s">
        <v>56</v>
      </c>
      <c r="F15" s="73">
        <v>1000</v>
      </c>
      <c r="G15" s="73">
        <v>1500</v>
      </c>
      <c r="H15" s="74">
        <v>129.69999999999999</v>
      </c>
      <c r="I15" s="74">
        <v>50</v>
      </c>
      <c r="J15" s="74">
        <v>1200</v>
      </c>
      <c r="K15" s="74">
        <f>$I$15</f>
        <v>50</v>
      </c>
      <c r="L15" s="74">
        <v>52</v>
      </c>
      <c r="M15" s="74"/>
      <c r="N15" s="74">
        <v>200</v>
      </c>
      <c r="O15" s="74"/>
      <c r="P15" s="74">
        <v>272.39999999999998</v>
      </c>
      <c r="Q15" s="74">
        <v>129.69999999999999</v>
      </c>
      <c r="R15" s="115">
        <f>G15</f>
        <v>1500</v>
      </c>
      <c r="S15" s="27">
        <f>900*3</f>
        <v>2700</v>
      </c>
      <c r="T15" s="74">
        <v>1200</v>
      </c>
      <c r="U15" s="74"/>
      <c r="V15" s="74"/>
      <c r="W15" s="74"/>
      <c r="X15" s="74"/>
      <c r="Y15" s="74"/>
      <c r="Z15" s="74"/>
      <c r="AA15" s="115">
        <f>7*365</f>
        <v>2555</v>
      </c>
      <c r="AB15" s="74"/>
      <c r="AC15" s="74"/>
      <c r="AD15" s="74">
        <f>G15*12*20/100</f>
        <v>3600</v>
      </c>
      <c r="AE15" s="74">
        <f>300*12</f>
        <v>3600</v>
      </c>
      <c r="AF15" s="74">
        <f>200*12</f>
        <v>2400</v>
      </c>
      <c r="AG15" s="115">
        <f>SUM(G15:AF15)</f>
        <v>21138.799999999999</v>
      </c>
    </row>
    <row r="16" spans="1:65" ht="15.75" customHeight="1" x14ac:dyDescent="0.25">
      <c r="A16" s="34" t="s">
        <v>5</v>
      </c>
      <c r="B16" s="35" t="s">
        <v>19</v>
      </c>
      <c r="C16" s="36" t="s">
        <v>53</v>
      </c>
      <c r="D16" s="37"/>
      <c r="E16" s="38" t="s">
        <v>7</v>
      </c>
      <c r="F16" s="39">
        <v>200</v>
      </c>
      <c r="G16" s="39">
        <v>250</v>
      </c>
      <c r="H16" s="33"/>
      <c r="I16" s="33"/>
      <c r="J16" s="33">
        <v>300</v>
      </c>
      <c r="K16" s="33">
        <f>$I$16</f>
        <v>0</v>
      </c>
      <c r="L16" s="33">
        <f>$I$16</f>
        <v>0</v>
      </c>
      <c r="M16" s="33">
        <f>$I$16</f>
        <v>0</v>
      </c>
      <c r="N16" s="27">
        <f t="shared" ref="N16" si="19">I16+(I16*3%)</f>
        <v>0</v>
      </c>
      <c r="O16" s="33">
        <f t="shared" ref="O16:Z16" si="20">$N$16</f>
        <v>0</v>
      </c>
      <c r="P16" s="33">
        <f t="shared" si="20"/>
        <v>0</v>
      </c>
      <c r="Q16" s="33">
        <f t="shared" si="20"/>
        <v>0</v>
      </c>
      <c r="R16" s="33">
        <f t="shared" ref="R16:R18" si="21">G16</f>
        <v>250</v>
      </c>
      <c r="S16" s="33">
        <f>750*2</f>
        <v>1500</v>
      </c>
      <c r="T16" s="33"/>
      <c r="U16" s="33">
        <v>300</v>
      </c>
      <c r="V16" s="33">
        <f t="shared" si="20"/>
        <v>0</v>
      </c>
      <c r="W16" s="33">
        <f t="shared" si="20"/>
        <v>0</v>
      </c>
      <c r="X16" s="33">
        <f>G16*7/100</f>
        <v>17.5</v>
      </c>
      <c r="Y16" s="33">
        <f t="shared" si="20"/>
        <v>0</v>
      </c>
      <c r="Z16" s="33">
        <f t="shared" si="20"/>
        <v>0</v>
      </c>
      <c r="AA16" s="33">
        <f t="shared" ref="AA16:AA18" si="22">7*365</f>
        <v>2555</v>
      </c>
      <c r="AB16" s="33"/>
      <c r="AC16" s="33">
        <v>194.55</v>
      </c>
      <c r="AD16" s="33">
        <f>G16*12*20/100</f>
        <v>600</v>
      </c>
      <c r="AE16" s="33">
        <f>200*12</f>
        <v>2400</v>
      </c>
      <c r="AF16" s="33">
        <f>100*12</f>
        <v>1200</v>
      </c>
      <c r="AG16" s="33">
        <f t="shared" ref="AG16:AG18" si="23">SUM(G16:AF16)</f>
        <v>9567.0499999999993</v>
      </c>
    </row>
    <row r="17" spans="1:65" s="78" customFormat="1" ht="15.95" customHeight="1" x14ac:dyDescent="0.25">
      <c r="A17" s="34" t="s">
        <v>5</v>
      </c>
      <c r="B17" s="75" t="s">
        <v>20</v>
      </c>
      <c r="C17" s="30" t="s">
        <v>24</v>
      </c>
      <c r="D17" s="31"/>
      <c r="E17" s="38" t="s">
        <v>16</v>
      </c>
      <c r="F17" s="76">
        <v>200</v>
      </c>
      <c r="G17" s="76">
        <v>250</v>
      </c>
      <c r="H17" s="77">
        <v>129.69999999999999</v>
      </c>
      <c r="I17" s="77">
        <v>50</v>
      </c>
      <c r="J17" s="77">
        <v>600</v>
      </c>
      <c r="K17" s="77">
        <f>$I$17</f>
        <v>50</v>
      </c>
      <c r="L17" s="77">
        <v>52</v>
      </c>
      <c r="M17" s="77"/>
      <c r="N17" s="27">
        <v>100</v>
      </c>
      <c r="O17" s="33">
        <v>50</v>
      </c>
      <c r="P17" s="33">
        <v>272.39999999999998</v>
      </c>
      <c r="Q17" s="33">
        <v>129.69999999999999</v>
      </c>
      <c r="R17" s="33">
        <f t="shared" si="21"/>
        <v>250</v>
      </c>
      <c r="S17" s="33">
        <f>750*2</f>
        <v>1500</v>
      </c>
      <c r="T17" s="33">
        <v>600</v>
      </c>
      <c r="U17" s="33"/>
      <c r="V17" s="33"/>
      <c r="W17" s="33"/>
      <c r="X17" s="33"/>
      <c r="Y17" s="33"/>
      <c r="Z17" s="33">
        <v>600</v>
      </c>
      <c r="AA17" s="33">
        <f t="shared" si="22"/>
        <v>2555</v>
      </c>
      <c r="AB17" s="33"/>
      <c r="AC17" s="33"/>
      <c r="AD17" s="33">
        <f>G17*12*20/100</f>
        <v>600</v>
      </c>
      <c r="AE17" s="33">
        <f>100*12</f>
        <v>1200</v>
      </c>
      <c r="AF17" s="33">
        <f>100*12</f>
        <v>1200</v>
      </c>
      <c r="AG17" s="33">
        <f t="shared" si="23"/>
        <v>10188.799999999999</v>
      </c>
    </row>
    <row r="18" spans="1:65" ht="15" customHeight="1" thickBot="1" x14ac:dyDescent="0.3">
      <c r="A18" s="40" t="s">
        <v>5</v>
      </c>
      <c r="B18" s="41" t="s">
        <v>21</v>
      </c>
      <c r="C18" s="79" t="s">
        <v>54</v>
      </c>
      <c r="D18" s="80"/>
      <c r="E18" s="38" t="s">
        <v>7</v>
      </c>
      <c r="F18" s="44">
        <v>200</v>
      </c>
      <c r="G18" s="44">
        <v>250</v>
      </c>
      <c r="H18" s="45"/>
      <c r="I18" s="45"/>
      <c r="J18" s="45">
        <v>300</v>
      </c>
      <c r="K18" s="45"/>
      <c r="L18" s="45"/>
      <c r="M18" s="45">
        <v>20</v>
      </c>
      <c r="N18" s="27"/>
      <c r="O18" s="33">
        <v>50</v>
      </c>
      <c r="P18" s="33">
        <f t="shared" ref="P18:V18" si="24">$N$18</f>
        <v>0</v>
      </c>
      <c r="Q18" s="33">
        <f t="shared" si="24"/>
        <v>0</v>
      </c>
      <c r="R18" s="27">
        <f t="shared" si="21"/>
        <v>250</v>
      </c>
      <c r="S18" s="33">
        <f>500*1</f>
        <v>500</v>
      </c>
      <c r="T18" s="33"/>
      <c r="U18" s="33">
        <v>300</v>
      </c>
      <c r="V18" s="33">
        <f t="shared" si="24"/>
        <v>0</v>
      </c>
      <c r="W18" s="33">
        <f>$N$18</f>
        <v>0</v>
      </c>
      <c r="X18" s="33">
        <f t="shared" ref="X18" si="25">G18*7/100</f>
        <v>17.5</v>
      </c>
      <c r="Y18" s="33">
        <v>600</v>
      </c>
      <c r="Z18" s="33">
        <f>$N$18</f>
        <v>0</v>
      </c>
      <c r="AA18" s="27">
        <f t="shared" si="22"/>
        <v>2555</v>
      </c>
      <c r="AB18" s="33">
        <v>480</v>
      </c>
      <c r="AC18" s="33">
        <v>194.55</v>
      </c>
      <c r="AD18" s="33">
        <f>$N$18</f>
        <v>0</v>
      </c>
      <c r="AE18" s="33">
        <f>50*12</f>
        <v>600</v>
      </c>
      <c r="AF18" s="33">
        <f>50*12</f>
        <v>600</v>
      </c>
      <c r="AG18" s="27">
        <f t="shared" si="23"/>
        <v>6717.05</v>
      </c>
    </row>
    <row r="19" spans="1:65" s="53" customFormat="1" ht="15" customHeight="1" x14ac:dyDescent="0.25">
      <c r="A19" s="81"/>
      <c r="B19" s="82"/>
      <c r="C19" s="83"/>
      <c r="D19" s="84"/>
      <c r="E19" s="85"/>
      <c r="F19" s="86">
        <f t="shared" ref="F19:M19" si="26">SUM(F15:F18)</f>
        <v>1600</v>
      </c>
      <c r="G19" s="86">
        <f t="shared" si="26"/>
        <v>2250</v>
      </c>
      <c r="H19" s="87">
        <f t="shared" si="26"/>
        <v>259.39999999999998</v>
      </c>
      <c r="I19" s="87">
        <f t="shared" si="26"/>
        <v>100</v>
      </c>
      <c r="J19" s="87">
        <f>SUM(J15:J18)</f>
        <v>2400</v>
      </c>
      <c r="K19" s="87">
        <f t="shared" si="26"/>
        <v>100</v>
      </c>
      <c r="L19" s="87">
        <f t="shared" si="26"/>
        <v>104</v>
      </c>
      <c r="M19" s="87">
        <f t="shared" si="26"/>
        <v>20</v>
      </c>
      <c r="N19" s="87"/>
      <c r="O19" s="87">
        <f t="shared" ref="O19:W19" si="27">SUM(O15:O18)</f>
        <v>100</v>
      </c>
      <c r="P19" s="87">
        <f t="shared" si="27"/>
        <v>544.79999999999995</v>
      </c>
      <c r="Q19" s="87">
        <f t="shared" si="27"/>
        <v>259.39999999999998</v>
      </c>
      <c r="R19" s="87">
        <f t="shared" si="27"/>
        <v>2250</v>
      </c>
      <c r="S19" s="87">
        <f t="shared" si="27"/>
        <v>6200</v>
      </c>
      <c r="T19" s="87">
        <f t="shared" si="27"/>
        <v>1800</v>
      </c>
      <c r="U19" s="87">
        <f t="shared" si="27"/>
        <v>600</v>
      </c>
      <c r="V19" s="87">
        <f t="shared" si="27"/>
        <v>0</v>
      </c>
      <c r="W19" s="87">
        <f t="shared" si="27"/>
        <v>0</v>
      </c>
      <c r="X19" s="87">
        <f t="shared" ref="X19:AA19" si="28">SUM(X15:X18)</f>
        <v>35</v>
      </c>
      <c r="Y19" s="87">
        <f t="shared" si="28"/>
        <v>600</v>
      </c>
      <c r="Z19" s="87">
        <f t="shared" si="28"/>
        <v>600</v>
      </c>
      <c r="AA19" s="87">
        <f t="shared" si="28"/>
        <v>10220</v>
      </c>
      <c r="AB19" s="87">
        <f t="shared" ref="AB19:AD19" si="29">SUM(AB15:AB18)</f>
        <v>480</v>
      </c>
      <c r="AC19" s="87">
        <f t="shared" si="29"/>
        <v>389.1</v>
      </c>
      <c r="AD19" s="87">
        <f t="shared" si="29"/>
        <v>4800</v>
      </c>
      <c r="AE19" s="87">
        <f t="shared" ref="AE19" si="30">SUM(AE15:AE18)</f>
        <v>7800</v>
      </c>
      <c r="AF19" s="87">
        <f>SUM(AF15:AF18)</f>
        <v>5400</v>
      </c>
      <c r="AG19" s="87">
        <f>SUM(AG15:AG18)</f>
        <v>47611.7</v>
      </c>
    </row>
    <row r="20" spans="1:65" ht="15" customHeight="1" x14ac:dyDescent="0.25">
      <c r="A20" s="88"/>
      <c r="B20" s="89"/>
      <c r="C20" s="90"/>
      <c r="D20" s="91"/>
      <c r="E20" s="92"/>
      <c r="F20" s="93"/>
      <c r="G20" s="93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</row>
    <row r="21" spans="1:65" x14ac:dyDescent="0.25">
      <c r="A21" s="97"/>
      <c r="C21" s="95"/>
      <c r="D21" s="96"/>
      <c r="F21" s="99"/>
      <c r="G21" s="99"/>
      <c r="H21" s="100"/>
      <c r="I21" s="100"/>
      <c r="J21" s="100"/>
      <c r="K21" s="100"/>
      <c r="L21" s="101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</row>
    <row r="22" spans="1:65" s="98" customFormat="1" x14ac:dyDescent="0.25">
      <c r="A22" s="97"/>
      <c r="B22" s="98" t="s">
        <v>26</v>
      </c>
      <c r="C22" s="95"/>
      <c r="D22" s="96"/>
      <c r="F22" s="99"/>
      <c r="G22" s="99"/>
      <c r="H22" s="100"/>
      <c r="I22" s="100"/>
      <c r="J22" s="100"/>
      <c r="K22" s="100">
        <f>COUNT(K15:K18)-K26</f>
        <v>2</v>
      </c>
      <c r="L22" s="100">
        <f>COUNT(L15:L18)-L26</f>
        <v>2</v>
      </c>
      <c r="M22" s="100">
        <f>COUNT(M15:M18)-M26</f>
        <v>1</v>
      </c>
      <c r="N22" s="100"/>
      <c r="O22" s="100">
        <f>COUNT(O15:O18)-O26</f>
        <v>2</v>
      </c>
      <c r="P22" s="100">
        <f>COUNT(P15:P18)-P26</f>
        <v>3</v>
      </c>
      <c r="Q22" s="100">
        <f>COUNT(Q15:Q18)-Q26</f>
        <v>3</v>
      </c>
      <c r="R22" s="100">
        <f>COUNT(R15:R18)-R26</f>
        <v>3</v>
      </c>
      <c r="S22" s="100">
        <f>COUNT(S15:S18)-S26</f>
        <v>3</v>
      </c>
      <c r="T22" s="100">
        <f>COUNT(T15:T18)-T26</f>
        <v>1</v>
      </c>
      <c r="U22" s="100">
        <f>COUNT(U15:U18)-U26</f>
        <v>1</v>
      </c>
      <c r="V22" s="100">
        <f>COUNT(V15:V18)-V26</f>
        <v>1</v>
      </c>
      <c r="W22" s="100">
        <f>COUNT(W15:W18)-W26</f>
        <v>1</v>
      </c>
      <c r="X22" s="100">
        <f>COUNT(X15:X18)-X26</f>
        <v>1</v>
      </c>
      <c r="Y22" s="100">
        <f>COUNT(Y15:Y18)-Y26</f>
        <v>1</v>
      </c>
      <c r="Z22" s="100">
        <f>COUNT(Z15:Z18)-Z26</f>
        <v>2</v>
      </c>
      <c r="AA22" s="100">
        <f>COUNT(AA15:AA18)-AA26</f>
        <v>3</v>
      </c>
      <c r="AB22" s="100">
        <f>COUNT(AB15:AB18)-AB26</f>
        <v>0</v>
      </c>
      <c r="AC22" s="100">
        <f>COUNT(AC15:AC18)-AC26</f>
        <v>1</v>
      </c>
      <c r="AD22" s="100">
        <f>COUNT(AD15:AD18)-AD26</f>
        <v>3</v>
      </c>
      <c r="AE22" s="100">
        <f>COUNT(AE15:AE18)-AE26</f>
        <v>3</v>
      </c>
      <c r="AF22" s="100">
        <f>COUNT(AF15:AF18)-AF26</f>
        <v>3</v>
      </c>
      <c r="AG22" s="100">
        <f>COUNT(AG15:AG18)-AG26</f>
        <v>3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1:65" s="98" customFormat="1" x14ac:dyDescent="0.25">
      <c r="A23" s="97"/>
      <c r="B23" s="98" t="s">
        <v>27</v>
      </c>
      <c r="C23" s="95"/>
      <c r="D23" s="96"/>
      <c r="F23" s="99"/>
      <c r="G23" s="99"/>
      <c r="H23" s="100"/>
      <c r="I23" s="100"/>
      <c r="J23" s="100"/>
      <c r="K23" s="100">
        <f>COUNT(#REF!)</f>
        <v>0</v>
      </c>
      <c r="L23" s="100">
        <f>COUNT(#REF!)</f>
        <v>0</v>
      </c>
      <c r="M23" s="100">
        <f>COUNT(#REF!)</f>
        <v>0</v>
      </c>
      <c r="N23" s="100"/>
      <c r="O23" s="100">
        <f>COUNT(#REF!)</f>
        <v>0</v>
      </c>
      <c r="P23" s="100">
        <f>COUNT(#REF!)</f>
        <v>0</v>
      </c>
      <c r="Q23" s="100">
        <f>COUNT(#REF!)</f>
        <v>0</v>
      </c>
      <c r="R23" s="100">
        <f>COUNT(#REF!)</f>
        <v>0</v>
      </c>
      <c r="S23" s="100">
        <f>COUNT(#REF!)</f>
        <v>0</v>
      </c>
      <c r="T23" s="100">
        <f>COUNT(#REF!)</f>
        <v>0</v>
      </c>
      <c r="U23" s="100">
        <f>COUNT(#REF!)</f>
        <v>0</v>
      </c>
      <c r="V23" s="100">
        <f>COUNT(#REF!)</f>
        <v>0</v>
      </c>
      <c r="W23" s="100">
        <f>COUNT(#REF!)</f>
        <v>0</v>
      </c>
      <c r="X23" s="100">
        <f>COUNT(#REF!)</f>
        <v>0</v>
      </c>
      <c r="Y23" s="100">
        <f>COUNT(#REF!)</f>
        <v>0</v>
      </c>
      <c r="Z23" s="100">
        <f>COUNT(#REF!)</f>
        <v>0</v>
      </c>
      <c r="AA23" s="100">
        <f>COUNT(#REF!)</f>
        <v>0</v>
      </c>
      <c r="AB23" s="100">
        <f>COUNT(#REF!)</f>
        <v>0</v>
      </c>
      <c r="AC23" s="100">
        <f>COUNT(#REF!)</f>
        <v>0</v>
      </c>
      <c r="AD23" s="100">
        <f>COUNT(#REF!)</f>
        <v>0</v>
      </c>
      <c r="AE23" s="100">
        <f>COUNT(#REF!)</f>
        <v>0</v>
      </c>
      <c r="AF23" s="100">
        <f>COUNT(#REF!)</f>
        <v>0</v>
      </c>
      <c r="AG23" s="100">
        <f>COUNT(#REF!)</f>
        <v>0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1:65" s="98" customFormat="1" x14ac:dyDescent="0.25">
      <c r="A24" s="97"/>
      <c r="B24" s="98" t="s">
        <v>28</v>
      </c>
      <c r="C24" s="95"/>
      <c r="D24" s="96"/>
      <c r="F24" s="102"/>
      <c r="G24" s="102"/>
      <c r="H24" s="103"/>
      <c r="I24" s="103"/>
      <c r="J24" s="103"/>
      <c r="K24" s="100">
        <f>COUNT(#REF!)</f>
        <v>0</v>
      </c>
      <c r="L24" s="100">
        <f>COUNT(#REF!)</f>
        <v>0</v>
      </c>
      <c r="M24" s="100">
        <f>COUNT(#REF!)</f>
        <v>0</v>
      </c>
      <c r="N24" s="100"/>
      <c r="O24" s="100">
        <f>COUNT(#REF!)</f>
        <v>0</v>
      </c>
      <c r="P24" s="100">
        <f>COUNT(#REF!)</f>
        <v>0</v>
      </c>
      <c r="Q24" s="100">
        <f>COUNT(#REF!)</f>
        <v>0</v>
      </c>
      <c r="R24" s="100">
        <f>COUNT(#REF!)</f>
        <v>0</v>
      </c>
      <c r="S24" s="100">
        <f>COUNT(#REF!)</f>
        <v>0</v>
      </c>
      <c r="T24" s="100">
        <f>COUNT(#REF!)</f>
        <v>0</v>
      </c>
      <c r="U24" s="100">
        <f>COUNT(#REF!)</f>
        <v>0</v>
      </c>
      <c r="V24" s="100">
        <f>COUNT(#REF!)</f>
        <v>0</v>
      </c>
      <c r="W24" s="100">
        <f>COUNT(#REF!)</f>
        <v>0</v>
      </c>
      <c r="X24" s="100">
        <f>COUNT(#REF!)</f>
        <v>0</v>
      </c>
      <c r="Y24" s="100">
        <f>COUNT(#REF!)</f>
        <v>0</v>
      </c>
      <c r="Z24" s="100">
        <f>COUNT(#REF!)</f>
        <v>0</v>
      </c>
      <c r="AA24" s="100">
        <f>COUNT(#REF!)</f>
        <v>0</v>
      </c>
      <c r="AB24" s="100">
        <f>COUNT(#REF!)</f>
        <v>0</v>
      </c>
      <c r="AC24" s="100">
        <f>COUNT(#REF!)</f>
        <v>0</v>
      </c>
      <c r="AD24" s="100">
        <f>COUNT(#REF!)</f>
        <v>0</v>
      </c>
      <c r="AE24" s="100">
        <f>COUNT(#REF!)</f>
        <v>0</v>
      </c>
      <c r="AF24" s="100">
        <f>COUNT(#REF!)</f>
        <v>0</v>
      </c>
      <c r="AG24" s="100">
        <f>COUNT(#REF!)</f>
        <v>0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1:65" s="98" customFormat="1" x14ac:dyDescent="0.25">
      <c r="A25" s="97"/>
      <c r="B25" s="98" t="s">
        <v>29</v>
      </c>
      <c r="C25" s="95"/>
      <c r="D25" s="96"/>
      <c r="F25" s="104"/>
      <c r="G25" s="104"/>
      <c r="H25" s="105"/>
      <c r="I25" s="105"/>
      <c r="J25" s="105"/>
      <c r="K25" s="105">
        <f>COUNT(#REF!)</f>
        <v>0</v>
      </c>
      <c r="L25" s="105">
        <f>COUNT(#REF!)</f>
        <v>0</v>
      </c>
      <c r="M25" s="105">
        <f>COUNT(#REF!)</f>
        <v>0</v>
      </c>
      <c r="N25" s="105"/>
      <c r="O25" s="105">
        <f>COUNT(#REF!)</f>
        <v>0</v>
      </c>
      <c r="P25" s="105">
        <f>COUNT(#REF!)</f>
        <v>0</v>
      </c>
      <c r="Q25" s="105">
        <f>COUNT(#REF!)</f>
        <v>0</v>
      </c>
      <c r="R25" s="105">
        <f>COUNT(#REF!)</f>
        <v>0</v>
      </c>
      <c r="S25" s="105">
        <f>COUNT(#REF!)</f>
        <v>0</v>
      </c>
      <c r="T25" s="105">
        <f>COUNT(#REF!)</f>
        <v>0</v>
      </c>
      <c r="U25" s="105">
        <f>COUNT(#REF!)</f>
        <v>0</v>
      </c>
      <c r="V25" s="105">
        <f>COUNT(#REF!)</f>
        <v>0</v>
      </c>
      <c r="W25" s="105">
        <f>COUNT(#REF!)</f>
        <v>0</v>
      </c>
      <c r="X25" s="105">
        <f>COUNT(#REF!)</f>
        <v>0</v>
      </c>
      <c r="Y25" s="105">
        <f>COUNT(#REF!)</f>
        <v>0</v>
      </c>
      <c r="Z25" s="105">
        <f>COUNT(#REF!)</f>
        <v>0</v>
      </c>
      <c r="AA25" s="105">
        <f>COUNT(#REF!)</f>
        <v>0</v>
      </c>
      <c r="AB25" s="105">
        <f>COUNT(#REF!)</f>
        <v>0</v>
      </c>
      <c r="AC25" s="105">
        <f>COUNT(#REF!)</f>
        <v>0</v>
      </c>
      <c r="AD25" s="105">
        <f>COUNT(#REF!)</f>
        <v>0</v>
      </c>
      <c r="AE25" s="105">
        <f>COUNT(#REF!)</f>
        <v>0</v>
      </c>
      <c r="AF25" s="105">
        <f>COUNT(#REF!)</f>
        <v>0</v>
      </c>
      <c r="AG25" s="105">
        <f>COUNT(#REF!)</f>
        <v>0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1:65" s="98" customFormat="1" x14ac:dyDescent="0.25">
      <c r="A26" s="97"/>
      <c r="B26" s="98" t="s">
        <v>30</v>
      </c>
      <c r="C26" s="95"/>
      <c r="D26" s="96"/>
      <c r="F26" s="104"/>
      <c r="G26" s="104"/>
      <c r="H26" s="105"/>
      <c r="I26" s="105"/>
      <c r="J26" s="105"/>
      <c r="K26" s="105">
        <v>1</v>
      </c>
      <c r="L26" s="105">
        <v>1</v>
      </c>
      <c r="M26" s="105">
        <v>1</v>
      </c>
      <c r="N26" s="105"/>
      <c r="O26" s="105">
        <v>1</v>
      </c>
      <c r="P26" s="105">
        <v>1</v>
      </c>
      <c r="Q26" s="105">
        <v>1</v>
      </c>
      <c r="R26" s="105">
        <v>1</v>
      </c>
      <c r="S26" s="105">
        <v>1</v>
      </c>
      <c r="T26" s="105">
        <v>1</v>
      </c>
      <c r="U26" s="105">
        <v>1</v>
      </c>
      <c r="V26" s="105">
        <v>1</v>
      </c>
      <c r="W26" s="105">
        <v>1</v>
      </c>
      <c r="X26" s="105">
        <v>1</v>
      </c>
      <c r="Y26" s="105">
        <v>1</v>
      </c>
      <c r="Z26" s="105">
        <v>1</v>
      </c>
      <c r="AA26" s="105">
        <v>1</v>
      </c>
      <c r="AB26" s="105">
        <v>1</v>
      </c>
      <c r="AC26" s="105">
        <v>1</v>
      </c>
      <c r="AD26" s="105">
        <v>1</v>
      </c>
      <c r="AE26" s="105">
        <v>1</v>
      </c>
      <c r="AF26" s="105">
        <v>1</v>
      </c>
      <c r="AG26" s="105">
        <v>1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</row>
    <row r="27" spans="1:65" s="98" customFormat="1" x14ac:dyDescent="0.25">
      <c r="A27" s="97"/>
      <c r="B27" s="98" t="s">
        <v>31</v>
      </c>
      <c r="C27" s="95"/>
      <c r="D27" s="96"/>
      <c r="F27" s="104"/>
      <c r="G27" s="104"/>
      <c r="H27" s="105"/>
      <c r="I27" s="105"/>
      <c r="J27" s="105"/>
      <c r="K27" s="105">
        <f>COUNT(#REF!)</f>
        <v>0</v>
      </c>
      <c r="L27" s="105">
        <f>COUNT(#REF!)</f>
        <v>0</v>
      </c>
      <c r="M27" s="105">
        <f>COUNT(#REF!)</f>
        <v>0</v>
      </c>
      <c r="N27" s="105"/>
      <c r="O27" s="105">
        <f>COUNT(#REF!)</f>
        <v>0</v>
      </c>
      <c r="P27" s="105">
        <f>COUNT(#REF!)</f>
        <v>0</v>
      </c>
      <c r="Q27" s="105">
        <f>COUNT(#REF!)</f>
        <v>0</v>
      </c>
      <c r="R27" s="105">
        <f>COUNT(#REF!)</f>
        <v>0</v>
      </c>
      <c r="S27" s="105">
        <f>COUNT(#REF!)</f>
        <v>0</v>
      </c>
      <c r="T27" s="105">
        <f>COUNT(#REF!)</f>
        <v>0</v>
      </c>
      <c r="U27" s="105">
        <f>COUNT(#REF!)</f>
        <v>0</v>
      </c>
      <c r="V27" s="105">
        <f>COUNT(#REF!)</f>
        <v>0</v>
      </c>
      <c r="W27" s="105">
        <f>COUNT(#REF!)</f>
        <v>0</v>
      </c>
      <c r="X27" s="105">
        <f>COUNT(#REF!)</f>
        <v>0</v>
      </c>
      <c r="Y27" s="105">
        <f>COUNT(#REF!)</f>
        <v>0</v>
      </c>
      <c r="Z27" s="105">
        <f>COUNT(#REF!)</f>
        <v>0</v>
      </c>
      <c r="AA27" s="105">
        <f>COUNT(#REF!)</f>
        <v>0</v>
      </c>
      <c r="AB27" s="105">
        <f>COUNT(#REF!)</f>
        <v>0</v>
      </c>
      <c r="AC27" s="105">
        <f>COUNT(#REF!)</f>
        <v>0</v>
      </c>
      <c r="AD27" s="105">
        <f>COUNT(#REF!)</f>
        <v>0</v>
      </c>
      <c r="AE27" s="105">
        <f>COUNT(#REF!)</f>
        <v>0</v>
      </c>
      <c r="AF27" s="105">
        <f>COUNT(#REF!)</f>
        <v>0</v>
      </c>
      <c r="AG27" s="105">
        <f>COUNT(#REF!)</f>
        <v>0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1:65" s="98" customFormat="1" x14ac:dyDescent="0.25">
      <c r="A28" s="97"/>
      <c r="B28" s="98" t="s">
        <v>32</v>
      </c>
      <c r="C28" s="95"/>
      <c r="D28" s="96"/>
      <c r="F28" s="104"/>
      <c r="G28" s="104"/>
      <c r="H28" s="105"/>
      <c r="I28" s="105"/>
      <c r="J28" s="105"/>
      <c r="K28" s="105">
        <f>COUNT(#REF!)</f>
        <v>0</v>
      </c>
      <c r="L28" s="105">
        <f>COUNT(#REF!)</f>
        <v>0</v>
      </c>
      <c r="M28" s="105">
        <f>COUNT(#REF!)</f>
        <v>0</v>
      </c>
      <c r="N28" s="105"/>
      <c r="O28" s="105">
        <f>COUNT(#REF!)</f>
        <v>0</v>
      </c>
      <c r="P28" s="105">
        <f>COUNT(#REF!)</f>
        <v>0</v>
      </c>
      <c r="Q28" s="105">
        <f>COUNT(#REF!)</f>
        <v>0</v>
      </c>
      <c r="R28" s="105">
        <f>COUNT(#REF!)</f>
        <v>0</v>
      </c>
      <c r="S28" s="105">
        <f>COUNT(#REF!)</f>
        <v>0</v>
      </c>
      <c r="T28" s="105">
        <f>COUNT(#REF!)</f>
        <v>0</v>
      </c>
      <c r="U28" s="105">
        <f>COUNT(#REF!)</f>
        <v>0</v>
      </c>
      <c r="V28" s="105">
        <f>COUNT(#REF!)</f>
        <v>0</v>
      </c>
      <c r="W28" s="105">
        <f>COUNT(#REF!)</f>
        <v>0</v>
      </c>
      <c r="X28" s="105">
        <f>COUNT(#REF!)</f>
        <v>0</v>
      </c>
      <c r="Y28" s="105">
        <f>COUNT(#REF!)</f>
        <v>0</v>
      </c>
      <c r="Z28" s="105">
        <f>COUNT(#REF!)</f>
        <v>0</v>
      </c>
      <c r="AA28" s="105">
        <f>COUNT(#REF!)</f>
        <v>0</v>
      </c>
      <c r="AB28" s="105">
        <f>COUNT(#REF!)</f>
        <v>0</v>
      </c>
      <c r="AC28" s="105">
        <f>COUNT(#REF!)</f>
        <v>0</v>
      </c>
      <c r="AD28" s="105">
        <f>COUNT(#REF!)</f>
        <v>0</v>
      </c>
      <c r="AE28" s="105">
        <f>COUNT(#REF!)</f>
        <v>0</v>
      </c>
      <c r="AF28" s="105">
        <f>COUNT(#REF!)</f>
        <v>0</v>
      </c>
      <c r="AG28" s="105">
        <f>COUNT(#REF!)</f>
        <v>0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1:65" s="98" customFormat="1" x14ac:dyDescent="0.25">
      <c r="A29" s="97"/>
      <c r="B29" s="98" t="s">
        <v>33</v>
      </c>
      <c r="C29" s="95"/>
      <c r="D29" s="96"/>
      <c r="F29" s="104"/>
      <c r="G29" s="104"/>
      <c r="H29" s="105"/>
      <c r="I29" s="105"/>
      <c r="J29" s="105"/>
      <c r="K29" s="105">
        <f>COUNT(#REF!)</f>
        <v>0</v>
      </c>
      <c r="L29" s="105">
        <f>COUNT(#REF!)</f>
        <v>0</v>
      </c>
      <c r="M29" s="105">
        <f>COUNT(#REF!)</f>
        <v>0</v>
      </c>
      <c r="N29" s="105"/>
      <c r="O29" s="105">
        <f>COUNT(#REF!)</f>
        <v>0</v>
      </c>
      <c r="P29" s="105">
        <f>COUNT(#REF!)</f>
        <v>0</v>
      </c>
      <c r="Q29" s="105">
        <f>COUNT(#REF!)</f>
        <v>0</v>
      </c>
      <c r="R29" s="105">
        <f>COUNT(#REF!)</f>
        <v>0</v>
      </c>
      <c r="S29" s="105">
        <f>COUNT(#REF!)</f>
        <v>0</v>
      </c>
      <c r="T29" s="105">
        <f>COUNT(#REF!)</f>
        <v>0</v>
      </c>
      <c r="U29" s="105">
        <f>COUNT(#REF!)</f>
        <v>0</v>
      </c>
      <c r="V29" s="105">
        <f>COUNT(#REF!)</f>
        <v>0</v>
      </c>
      <c r="W29" s="105">
        <f>COUNT(#REF!)</f>
        <v>0</v>
      </c>
      <c r="X29" s="105">
        <f>COUNT(#REF!)</f>
        <v>0</v>
      </c>
      <c r="Y29" s="105">
        <f>COUNT(#REF!)</f>
        <v>0</v>
      </c>
      <c r="Z29" s="105">
        <f>COUNT(#REF!)</f>
        <v>0</v>
      </c>
      <c r="AA29" s="105">
        <f>COUNT(#REF!)</f>
        <v>0</v>
      </c>
      <c r="AB29" s="105">
        <f>COUNT(#REF!)</f>
        <v>0</v>
      </c>
      <c r="AC29" s="105">
        <f>COUNT(#REF!)</f>
        <v>0</v>
      </c>
      <c r="AD29" s="105">
        <f>COUNT(#REF!)</f>
        <v>0</v>
      </c>
      <c r="AE29" s="105">
        <f>COUNT(#REF!)</f>
        <v>0</v>
      </c>
      <c r="AF29" s="105">
        <f>COUNT(#REF!)</f>
        <v>0</v>
      </c>
      <c r="AG29" s="105">
        <f>COUNT(#REF!)</f>
        <v>0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</row>
    <row r="30" spans="1:65" s="98" customFormat="1" x14ac:dyDescent="0.25">
      <c r="A30" s="97"/>
      <c r="B30" s="98" t="s">
        <v>34</v>
      </c>
      <c r="C30" s="95"/>
      <c r="D30" s="96"/>
      <c r="F30" s="104"/>
      <c r="G30" s="106"/>
      <c r="H30" s="105"/>
      <c r="I30" s="105"/>
      <c r="J30" s="105"/>
      <c r="K30" s="105">
        <f>COUNT(#REF!)</f>
        <v>0</v>
      </c>
      <c r="L30" s="105">
        <f>COUNT(#REF!)</f>
        <v>0</v>
      </c>
      <c r="M30" s="105">
        <f>COUNT(#REF!)</f>
        <v>0</v>
      </c>
      <c r="N30" s="105"/>
      <c r="O30" s="105">
        <f>COUNT(#REF!)</f>
        <v>0</v>
      </c>
      <c r="P30" s="105">
        <f>COUNT(#REF!)</f>
        <v>0</v>
      </c>
      <c r="Q30" s="105">
        <f>COUNT(#REF!)</f>
        <v>0</v>
      </c>
      <c r="R30" s="105">
        <f>COUNT(#REF!)</f>
        <v>0</v>
      </c>
      <c r="S30" s="105">
        <f>COUNT(#REF!)</f>
        <v>0</v>
      </c>
      <c r="T30" s="105">
        <f>COUNT(#REF!)</f>
        <v>0</v>
      </c>
      <c r="U30" s="105">
        <f>COUNT(#REF!)</f>
        <v>0</v>
      </c>
      <c r="V30" s="105">
        <f>COUNT(#REF!)</f>
        <v>0</v>
      </c>
      <c r="W30" s="105">
        <f>COUNT(#REF!)</f>
        <v>0</v>
      </c>
      <c r="X30" s="105">
        <f>COUNT(#REF!)</f>
        <v>0</v>
      </c>
      <c r="Y30" s="105">
        <f>COUNT(#REF!)</f>
        <v>0</v>
      </c>
      <c r="Z30" s="105">
        <f>COUNT(#REF!)</f>
        <v>0</v>
      </c>
      <c r="AA30" s="105">
        <f>COUNT(#REF!)</f>
        <v>0</v>
      </c>
      <c r="AB30" s="105">
        <f>COUNT(#REF!)</f>
        <v>0</v>
      </c>
      <c r="AC30" s="105">
        <f>COUNT(#REF!)</f>
        <v>0</v>
      </c>
      <c r="AD30" s="105">
        <f>COUNT(#REF!)</f>
        <v>0</v>
      </c>
      <c r="AE30" s="105">
        <f>COUNT(#REF!)</f>
        <v>0</v>
      </c>
      <c r="AF30" s="105">
        <f>COUNT(#REF!)</f>
        <v>0</v>
      </c>
      <c r="AG30" s="105">
        <f>COUNT(#REF!)</f>
        <v>0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</row>
    <row r="31" spans="1:65" s="98" customFormat="1" x14ac:dyDescent="0.25">
      <c r="A31" s="97"/>
      <c r="B31" s="98" t="s">
        <v>35</v>
      </c>
      <c r="C31" s="95"/>
      <c r="D31" s="96"/>
      <c r="F31" s="104"/>
      <c r="G31" s="104"/>
      <c r="H31" s="105"/>
      <c r="I31" s="105"/>
      <c r="J31" s="105"/>
      <c r="K31" s="105">
        <f>COUNT(#REF!)</f>
        <v>0</v>
      </c>
      <c r="L31" s="105">
        <f>COUNT(#REF!)</f>
        <v>0</v>
      </c>
      <c r="M31" s="105">
        <f>COUNT(#REF!)</f>
        <v>0</v>
      </c>
      <c r="N31" s="105"/>
      <c r="O31" s="105">
        <f>COUNT(#REF!)</f>
        <v>0</v>
      </c>
      <c r="P31" s="105">
        <f>COUNT(#REF!)</f>
        <v>0</v>
      </c>
      <c r="Q31" s="105">
        <f>COUNT(#REF!)</f>
        <v>0</v>
      </c>
      <c r="R31" s="105">
        <f>COUNT(#REF!)</f>
        <v>0</v>
      </c>
      <c r="S31" s="105">
        <f>COUNT(#REF!)</f>
        <v>0</v>
      </c>
      <c r="T31" s="105">
        <f>COUNT(#REF!)</f>
        <v>0</v>
      </c>
      <c r="U31" s="105">
        <f>COUNT(#REF!)</f>
        <v>0</v>
      </c>
      <c r="V31" s="105">
        <f>COUNT(#REF!)</f>
        <v>0</v>
      </c>
      <c r="W31" s="105">
        <f>COUNT(#REF!)</f>
        <v>0</v>
      </c>
      <c r="X31" s="105">
        <f>COUNT(#REF!)</f>
        <v>0</v>
      </c>
      <c r="Y31" s="105">
        <f>COUNT(#REF!)</f>
        <v>0</v>
      </c>
      <c r="Z31" s="105">
        <f>COUNT(#REF!)</f>
        <v>0</v>
      </c>
      <c r="AA31" s="105">
        <f>COUNT(#REF!)</f>
        <v>0</v>
      </c>
      <c r="AB31" s="105">
        <f>COUNT(#REF!)</f>
        <v>0</v>
      </c>
      <c r="AC31" s="105">
        <f>COUNT(#REF!)</f>
        <v>0</v>
      </c>
      <c r="AD31" s="105">
        <f>COUNT(#REF!)</f>
        <v>0</v>
      </c>
      <c r="AE31" s="105">
        <f>COUNT(#REF!)</f>
        <v>0</v>
      </c>
      <c r="AF31" s="105">
        <f>COUNT(#REF!)</f>
        <v>0</v>
      </c>
      <c r="AG31" s="105">
        <f>COUNT(#REF!)</f>
        <v>0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</row>
    <row r="32" spans="1:65" s="98" customFormat="1" x14ac:dyDescent="0.25">
      <c r="A32" s="97"/>
      <c r="B32" s="98" t="s">
        <v>36</v>
      </c>
      <c r="C32" s="95"/>
      <c r="D32" s="96"/>
      <c r="F32" s="104"/>
      <c r="G32" s="104"/>
      <c r="H32" s="105"/>
      <c r="I32" s="105"/>
      <c r="J32" s="105"/>
      <c r="K32" s="105">
        <f>COUNT(#REF!)</f>
        <v>0</v>
      </c>
      <c r="L32" s="105">
        <f>COUNT(#REF!)</f>
        <v>0</v>
      </c>
      <c r="M32" s="105">
        <f>COUNT(#REF!)</f>
        <v>0</v>
      </c>
      <c r="N32" s="105"/>
      <c r="O32" s="105">
        <f>COUNT(#REF!)</f>
        <v>0</v>
      </c>
      <c r="P32" s="105">
        <f>COUNT(#REF!)</f>
        <v>0</v>
      </c>
      <c r="Q32" s="105">
        <f>COUNT(#REF!)</f>
        <v>0</v>
      </c>
      <c r="R32" s="105">
        <f>COUNT(#REF!)</f>
        <v>0</v>
      </c>
      <c r="S32" s="105">
        <f>COUNT(#REF!)</f>
        <v>0</v>
      </c>
      <c r="T32" s="105">
        <f>COUNT(#REF!)</f>
        <v>0</v>
      </c>
      <c r="U32" s="105">
        <f>COUNT(#REF!)</f>
        <v>0</v>
      </c>
      <c r="V32" s="105">
        <f>COUNT(#REF!)</f>
        <v>0</v>
      </c>
      <c r="W32" s="105">
        <f>COUNT(#REF!)</f>
        <v>0</v>
      </c>
      <c r="X32" s="105">
        <f>COUNT(#REF!)</f>
        <v>0</v>
      </c>
      <c r="Y32" s="105">
        <f>COUNT(#REF!)</f>
        <v>0</v>
      </c>
      <c r="Z32" s="105">
        <f>COUNT(#REF!)</f>
        <v>0</v>
      </c>
      <c r="AA32" s="105">
        <f>COUNT(#REF!)</f>
        <v>0</v>
      </c>
      <c r="AB32" s="105">
        <f>COUNT(#REF!)</f>
        <v>0</v>
      </c>
      <c r="AC32" s="105">
        <f>COUNT(#REF!)</f>
        <v>0</v>
      </c>
      <c r="AD32" s="105">
        <f>COUNT(#REF!)</f>
        <v>0</v>
      </c>
      <c r="AE32" s="105">
        <f>COUNT(#REF!)</f>
        <v>0</v>
      </c>
      <c r="AF32" s="105">
        <f>COUNT(#REF!)</f>
        <v>0</v>
      </c>
      <c r="AG32" s="105">
        <f>COUNT(#REF!)</f>
        <v>0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</row>
    <row r="33" spans="1:65" s="98" customFormat="1" x14ac:dyDescent="0.25">
      <c r="A33" s="97"/>
      <c r="B33" s="98" t="s">
        <v>37</v>
      </c>
      <c r="C33" s="95"/>
      <c r="D33" s="96"/>
      <c r="F33" s="104"/>
      <c r="G33" s="104"/>
      <c r="H33" s="105"/>
      <c r="I33" s="105"/>
      <c r="J33" s="105"/>
      <c r="K33" s="105">
        <f>COUNT(#REF!)</f>
        <v>0</v>
      </c>
      <c r="L33" s="105">
        <f>COUNT(#REF!)</f>
        <v>0</v>
      </c>
      <c r="M33" s="105">
        <f>COUNT(#REF!)</f>
        <v>0</v>
      </c>
      <c r="N33" s="105"/>
      <c r="O33" s="105">
        <f>COUNT(#REF!)</f>
        <v>0</v>
      </c>
      <c r="P33" s="105">
        <f>COUNT(#REF!)</f>
        <v>0</v>
      </c>
      <c r="Q33" s="105">
        <f>COUNT(#REF!)</f>
        <v>0</v>
      </c>
      <c r="R33" s="105">
        <f>COUNT(#REF!)</f>
        <v>0</v>
      </c>
      <c r="S33" s="105">
        <f>COUNT(#REF!)</f>
        <v>0</v>
      </c>
      <c r="T33" s="105">
        <f>COUNT(#REF!)</f>
        <v>0</v>
      </c>
      <c r="U33" s="105">
        <f>COUNT(#REF!)</f>
        <v>0</v>
      </c>
      <c r="V33" s="105">
        <f>COUNT(#REF!)</f>
        <v>0</v>
      </c>
      <c r="W33" s="105">
        <f>COUNT(#REF!)</f>
        <v>0</v>
      </c>
      <c r="X33" s="105">
        <f>COUNT(#REF!)</f>
        <v>0</v>
      </c>
      <c r="Y33" s="105">
        <f>COUNT(#REF!)</f>
        <v>0</v>
      </c>
      <c r="Z33" s="105">
        <f>COUNT(#REF!)</f>
        <v>0</v>
      </c>
      <c r="AA33" s="105">
        <f>COUNT(#REF!)</f>
        <v>0</v>
      </c>
      <c r="AB33" s="105">
        <f>COUNT(#REF!)</f>
        <v>0</v>
      </c>
      <c r="AC33" s="105">
        <f>COUNT(#REF!)</f>
        <v>0</v>
      </c>
      <c r="AD33" s="105">
        <f>COUNT(#REF!)</f>
        <v>0</v>
      </c>
      <c r="AE33" s="105">
        <f>COUNT(#REF!)</f>
        <v>0</v>
      </c>
      <c r="AF33" s="105">
        <f>COUNT(#REF!)</f>
        <v>0</v>
      </c>
      <c r="AG33" s="105">
        <f>COUNT(#REF!)</f>
        <v>0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 spans="1:65" s="98" customFormat="1" x14ac:dyDescent="0.25">
      <c r="A34" s="97"/>
      <c r="B34" s="98" t="s">
        <v>38</v>
      </c>
      <c r="C34" s="95"/>
      <c r="D34" s="96"/>
      <c r="F34" s="104"/>
      <c r="G34" s="104"/>
      <c r="H34" s="105"/>
      <c r="I34" s="105"/>
      <c r="J34" s="105"/>
      <c r="K34" s="105">
        <f>COUNT(#REF!)</f>
        <v>0</v>
      </c>
      <c r="L34" s="105">
        <f>COUNT(#REF!)</f>
        <v>0</v>
      </c>
      <c r="M34" s="105">
        <f>COUNT(#REF!)</f>
        <v>0</v>
      </c>
      <c r="N34" s="105"/>
      <c r="O34" s="105">
        <f>COUNT(#REF!)</f>
        <v>0</v>
      </c>
      <c r="P34" s="105">
        <f>COUNT(#REF!)</f>
        <v>0</v>
      </c>
      <c r="Q34" s="105">
        <f>COUNT(#REF!)</f>
        <v>0</v>
      </c>
      <c r="R34" s="105">
        <f>COUNT(#REF!)</f>
        <v>0</v>
      </c>
      <c r="S34" s="105">
        <f>COUNT(#REF!)</f>
        <v>0</v>
      </c>
      <c r="T34" s="105">
        <f>COUNT(#REF!)</f>
        <v>0</v>
      </c>
      <c r="U34" s="105">
        <f>COUNT(#REF!)</f>
        <v>0</v>
      </c>
      <c r="V34" s="105">
        <f>COUNT(#REF!)</f>
        <v>0</v>
      </c>
      <c r="W34" s="105">
        <f>COUNT(#REF!)</f>
        <v>0</v>
      </c>
      <c r="X34" s="105">
        <f>COUNT(#REF!)</f>
        <v>0</v>
      </c>
      <c r="Y34" s="105">
        <f>COUNT(#REF!)</f>
        <v>0</v>
      </c>
      <c r="Z34" s="105">
        <f>COUNT(#REF!)</f>
        <v>0</v>
      </c>
      <c r="AA34" s="105">
        <f>COUNT(#REF!)</f>
        <v>0</v>
      </c>
      <c r="AB34" s="105">
        <f>COUNT(#REF!)</f>
        <v>0</v>
      </c>
      <c r="AC34" s="105">
        <f>COUNT(#REF!)</f>
        <v>0</v>
      </c>
      <c r="AD34" s="105">
        <f>COUNT(#REF!)</f>
        <v>0</v>
      </c>
      <c r="AE34" s="105">
        <f>COUNT(#REF!)</f>
        <v>0</v>
      </c>
      <c r="AF34" s="105">
        <f>COUNT(#REF!)</f>
        <v>0</v>
      </c>
      <c r="AG34" s="105">
        <f>COUNT(#REF!)</f>
        <v>0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 spans="1:65" s="98" customFormat="1" x14ac:dyDescent="0.25">
      <c r="A35" s="97"/>
      <c r="B35" s="98" t="s">
        <v>39</v>
      </c>
      <c r="C35" s="95"/>
      <c r="D35" s="96"/>
      <c r="F35" s="104"/>
      <c r="G35" s="104"/>
      <c r="H35" s="105"/>
      <c r="I35" s="105"/>
      <c r="J35" s="105"/>
      <c r="K35" s="105">
        <f>COUNT(#REF!)</f>
        <v>0</v>
      </c>
      <c r="L35" s="105">
        <f>COUNT(#REF!)</f>
        <v>0</v>
      </c>
      <c r="M35" s="105">
        <f>COUNT(#REF!)</f>
        <v>0</v>
      </c>
      <c r="N35" s="105"/>
      <c r="O35" s="105">
        <f>COUNT(#REF!)</f>
        <v>0</v>
      </c>
      <c r="P35" s="105">
        <f>COUNT(#REF!)</f>
        <v>0</v>
      </c>
      <c r="Q35" s="105">
        <f>COUNT(#REF!)</f>
        <v>0</v>
      </c>
      <c r="R35" s="105">
        <f>COUNT(#REF!)</f>
        <v>0</v>
      </c>
      <c r="S35" s="105">
        <f>COUNT(#REF!)</f>
        <v>0</v>
      </c>
      <c r="T35" s="105">
        <f>COUNT(#REF!)</f>
        <v>0</v>
      </c>
      <c r="U35" s="105">
        <f>COUNT(#REF!)</f>
        <v>0</v>
      </c>
      <c r="V35" s="105">
        <f>COUNT(#REF!)</f>
        <v>0</v>
      </c>
      <c r="W35" s="105">
        <f>COUNT(#REF!)</f>
        <v>0</v>
      </c>
      <c r="X35" s="105">
        <f>COUNT(#REF!)</f>
        <v>0</v>
      </c>
      <c r="Y35" s="105">
        <f>COUNT(#REF!)</f>
        <v>0</v>
      </c>
      <c r="Z35" s="105">
        <f>COUNT(#REF!)</f>
        <v>0</v>
      </c>
      <c r="AA35" s="105">
        <f>COUNT(#REF!)</f>
        <v>0</v>
      </c>
      <c r="AB35" s="105">
        <f>COUNT(#REF!)</f>
        <v>0</v>
      </c>
      <c r="AC35" s="105">
        <f>COUNT(#REF!)</f>
        <v>0</v>
      </c>
      <c r="AD35" s="105">
        <f>COUNT(#REF!)</f>
        <v>0</v>
      </c>
      <c r="AE35" s="105">
        <f>COUNT(#REF!)</f>
        <v>0</v>
      </c>
      <c r="AF35" s="105">
        <f>COUNT(#REF!)</f>
        <v>0</v>
      </c>
      <c r="AG35" s="105">
        <f>COUNT(#REF!)</f>
        <v>0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</row>
    <row r="36" spans="1:65" s="98" customFormat="1" x14ac:dyDescent="0.25">
      <c r="A36" s="97"/>
      <c r="B36" s="98" t="s">
        <v>40</v>
      </c>
      <c r="C36" s="95"/>
      <c r="D36" s="96"/>
      <c r="F36" s="104"/>
      <c r="G36" s="104"/>
      <c r="H36" s="105"/>
      <c r="I36" s="105"/>
      <c r="J36" s="105"/>
      <c r="K36" s="105">
        <f>COUNT(#REF!)</f>
        <v>0</v>
      </c>
      <c r="L36" s="105">
        <f>COUNT(#REF!)</f>
        <v>0</v>
      </c>
      <c r="M36" s="105">
        <f>COUNT(#REF!)</f>
        <v>0</v>
      </c>
      <c r="N36" s="105"/>
      <c r="O36" s="105">
        <f>COUNT(#REF!)</f>
        <v>0</v>
      </c>
      <c r="P36" s="105">
        <f>COUNT(#REF!)</f>
        <v>0</v>
      </c>
      <c r="Q36" s="105">
        <f>COUNT(#REF!)</f>
        <v>0</v>
      </c>
      <c r="R36" s="105">
        <f>COUNT(#REF!)</f>
        <v>0</v>
      </c>
      <c r="S36" s="105">
        <f>COUNT(#REF!)</f>
        <v>0</v>
      </c>
      <c r="T36" s="105">
        <f>COUNT(#REF!)</f>
        <v>0</v>
      </c>
      <c r="U36" s="105">
        <f>COUNT(#REF!)</f>
        <v>0</v>
      </c>
      <c r="V36" s="105">
        <f>COUNT(#REF!)</f>
        <v>0</v>
      </c>
      <c r="W36" s="105">
        <f>COUNT(#REF!)</f>
        <v>0</v>
      </c>
      <c r="X36" s="105">
        <f>COUNT(#REF!)</f>
        <v>0</v>
      </c>
      <c r="Y36" s="105">
        <f>COUNT(#REF!)</f>
        <v>0</v>
      </c>
      <c r="Z36" s="105">
        <f>COUNT(#REF!)</f>
        <v>0</v>
      </c>
      <c r="AA36" s="105">
        <f>COUNT(#REF!)</f>
        <v>0</v>
      </c>
      <c r="AB36" s="105">
        <f>COUNT(#REF!)</f>
        <v>0</v>
      </c>
      <c r="AC36" s="105">
        <f>COUNT(#REF!)</f>
        <v>0</v>
      </c>
      <c r="AD36" s="105">
        <f>COUNT(#REF!)</f>
        <v>0</v>
      </c>
      <c r="AE36" s="105">
        <f>COUNT(#REF!)</f>
        <v>0</v>
      </c>
      <c r="AF36" s="105">
        <f>COUNT(#REF!)</f>
        <v>0</v>
      </c>
      <c r="AG36" s="105">
        <f>COUNT(#REF!)</f>
        <v>0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1:65" s="98" customFormat="1" x14ac:dyDescent="0.25">
      <c r="A37" s="97"/>
      <c r="B37" s="98" t="s">
        <v>41</v>
      </c>
      <c r="C37" s="95"/>
      <c r="D37" s="96"/>
      <c r="F37" s="104"/>
      <c r="G37" s="104"/>
      <c r="H37" s="105"/>
      <c r="I37" s="105"/>
      <c r="J37" s="105"/>
      <c r="K37" s="105">
        <f>COUNT(#REF!)</f>
        <v>0</v>
      </c>
      <c r="L37" s="105">
        <f>COUNT(#REF!)</f>
        <v>0</v>
      </c>
      <c r="M37" s="105">
        <f>COUNT(#REF!)</f>
        <v>0</v>
      </c>
      <c r="N37" s="105"/>
      <c r="O37" s="105">
        <f>COUNT(#REF!)</f>
        <v>0</v>
      </c>
      <c r="P37" s="105">
        <f>COUNT(#REF!)</f>
        <v>0</v>
      </c>
      <c r="Q37" s="105">
        <f>COUNT(#REF!)</f>
        <v>0</v>
      </c>
      <c r="R37" s="105">
        <f>COUNT(#REF!)</f>
        <v>0</v>
      </c>
      <c r="S37" s="105">
        <f>COUNT(#REF!)</f>
        <v>0</v>
      </c>
      <c r="T37" s="105">
        <f>COUNT(#REF!)</f>
        <v>0</v>
      </c>
      <c r="U37" s="105">
        <f>COUNT(#REF!)</f>
        <v>0</v>
      </c>
      <c r="V37" s="105">
        <f>COUNT(#REF!)</f>
        <v>0</v>
      </c>
      <c r="W37" s="105">
        <f>COUNT(#REF!)</f>
        <v>0</v>
      </c>
      <c r="X37" s="105">
        <f>COUNT(#REF!)</f>
        <v>0</v>
      </c>
      <c r="Y37" s="105">
        <f>COUNT(#REF!)</f>
        <v>0</v>
      </c>
      <c r="Z37" s="105">
        <f>COUNT(#REF!)</f>
        <v>0</v>
      </c>
      <c r="AA37" s="105">
        <f>COUNT(#REF!)</f>
        <v>0</v>
      </c>
      <c r="AB37" s="105">
        <f>COUNT(#REF!)</f>
        <v>0</v>
      </c>
      <c r="AC37" s="105">
        <f>COUNT(#REF!)</f>
        <v>0</v>
      </c>
      <c r="AD37" s="105">
        <f>COUNT(#REF!)</f>
        <v>0</v>
      </c>
      <c r="AE37" s="105">
        <f>COUNT(#REF!)</f>
        <v>0</v>
      </c>
      <c r="AF37" s="105">
        <f>COUNT(#REF!)</f>
        <v>0</v>
      </c>
      <c r="AG37" s="105">
        <f>COUNT(#REF!)</f>
        <v>0</v>
      </c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5" s="98" customFormat="1" x14ac:dyDescent="0.25">
      <c r="A38" s="95"/>
      <c r="B38" s="98" t="s">
        <v>42</v>
      </c>
      <c r="C38" s="95"/>
      <c r="D38" s="96"/>
      <c r="F38" s="104"/>
      <c r="G38" s="104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 s="98" customFormat="1" x14ac:dyDescent="0.25">
      <c r="A39" s="95"/>
      <c r="B39" s="98" t="s">
        <v>43</v>
      </c>
      <c r="C39" s="95"/>
      <c r="D39" s="96"/>
      <c r="F39" s="104"/>
      <c r="G39" s="104"/>
      <c r="H39" s="105"/>
      <c r="I39" s="105"/>
      <c r="J39" s="105"/>
      <c r="K39" s="105">
        <f>COUNT(#REF!)</f>
        <v>0</v>
      </c>
      <c r="L39" s="105">
        <f>COUNT(#REF!)</f>
        <v>0</v>
      </c>
      <c r="M39" s="105">
        <f>COUNT(#REF!)</f>
        <v>0</v>
      </c>
      <c r="N39" s="105"/>
      <c r="O39" s="105">
        <f>COUNT(#REF!)</f>
        <v>0</v>
      </c>
      <c r="P39" s="105">
        <f>COUNT(#REF!)</f>
        <v>0</v>
      </c>
      <c r="Q39" s="105">
        <f>COUNT(#REF!)</f>
        <v>0</v>
      </c>
      <c r="R39" s="105">
        <f>COUNT(#REF!)</f>
        <v>0</v>
      </c>
      <c r="S39" s="105">
        <f>COUNT(#REF!)</f>
        <v>0</v>
      </c>
      <c r="T39" s="105">
        <f>COUNT(#REF!)</f>
        <v>0</v>
      </c>
      <c r="U39" s="105">
        <f>COUNT(#REF!)</f>
        <v>0</v>
      </c>
      <c r="V39" s="105">
        <f>COUNT(#REF!)</f>
        <v>0</v>
      </c>
      <c r="W39" s="105">
        <f>COUNT(#REF!)</f>
        <v>0</v>
      </c>
      <c r="X39" s="105">
        <f>COUNT(#REF!)</f>
        <v>0</v>
      </c>
      <c r="Y39" s="105">
        <f>COUNT(#REF!)</f>
        <v>0</v>
      </c>
      <c r="Z39" s="105">
        <f>COUNT(#REF!)</f>
        <v>0</v>
      </c>
      <c r="AA39" s="105">
        <f>COUNT(#REF!)</f>
        <v>0</v>
      </c>
      <c r="AB39" s="105">
        <f>COUNT(#REF!)</f>
        <v>0</v>
      </c>
      <c r="AC39" s="105">
        <f>COUNT(#REF!)</f>
        <v>0</v>
      </c>
      <c r="AD39" s="105">
        <f>COUNT(#REF!)</f>
        <v>0</v>
      </c>
      <c r="AE39" s="105">
        <f>COUNT(#REF!)</f>
        <v>0</v>
      </c>
      <c r="AF39" s="105">
        <f>COUNT(#REF!)</f>
        <v>0</v>
      </c>
      <c r="AG39" s="105">
        <f>COUNT(#REF!)</f>
        <v>0</v>
      </c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1:65" s="98" customFormat="1" x14ac:dyDescent="0.25">
      <c r="A40" s="95"/>
      <c r="B40" s="98" t="s">
        <v>44</v>
      </c>
      <c r="C40" s="95"/>
      <c r="D40" s="96"/>
      <c r="F40" s="104"/>
      <c r="G40" s="104"/>
      <c r="H40" s="105"/>
      <c r="I40" s="105"/>
      <c r="J40" s="105"/>
      <c r="K40" s="105">
        <f>COUNT(#REF!)</f>
        <v>0</v>
      </c>
      <c r="L40" s="105">
        <f>COUNT(#REF!)</f>
        <v>0</v>
      </c>
      <c r="M40" s="105">
        <f>COUNT(#REF!)</f>
        <v>0</v>
      </c>
      <c r="N40" s="105"/>
      <c r="O40" s="105">
        <f>COUNT(#REF!)</f>
        <v>0</v>
      </c>
      <c r="P40" s="105">
        <f>COUNT(#REF!)</f>
        <v>0</v>
      </c>
      <c r="Q40" s="105">
        <f>COUNT(#REF!)</f>
        <v>0</v>
      </c>
      <c r="R40" s="105">
        <f>COUNT(#REF!)</f>
        <v>0</v>
      </c>
      <c r="S40" s="105">
        <f>COUNT(#REF!)</f>
        <v>0</v>
      </c>
      <c r="T40" s="105">
        <f>COUNT(#REF!)</f>
        <v>0</v>
      </c>
      <c r="U40" s="105">
        <f>COUNT(#REF!)</f>
        <v>0</v>
      </c>
      <c r="V40" s="105">
        <f>COUNT(#REF!)</f>
        <v>0</v>
      </c>
      <c r="W40" s="105">
        <f>COUNT(#REF!)</f>
        <v>0</v>
      </c>
      <c r="X40" s="105">
        <f>COUNT(#REF!)</f>
        <v>0</v>
      </c>
      <c r="Y40" s="105">
        <f>COUNT(#REF!)</f>
        <v>0</v>
      </c>
      <c r="Z40" s="105">
        <f>COUNT(#REF!)</f>
        <v>0</v>
      </c>
      <c r="AA40" s="105">
        <f>COUNT(#REF!)</f>
        <v>0</v>
      </c>
      <c r="AB40" s="105">
        <f>COUNT(#REF!)</f>
        <v>0</v>
      </c>
      <c r="AC40" s="105">
        <f>COUNT(#REF!)</f>
        <v>0</v>
      </c>
      <c r="AD40" s="105">
        <f>COUNT(#REF!)</f>
        <v>0</v>
      </c>
      <c r="AE40" s="105">
        <f>COUNT(#REF!)</f>
        <v>0</v>
      </c>
      <c r="AF40" s="105">
        <f>COUNT(#REF!)</f>
        <v>0</v>
      </c>
      <c r="AG40" s="105">
        <f>COUNT(#REF!)</f>
        <v>0</v>
      </c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</row>
    <row r="41" spans="1:65" s="98" customFormat="1" x14ac:dyDescent="0.25">
      <c r="A41" s="95"/>
      <c r="B41" s="98" t="s">
        <v>45</v>
      </c>
      <c r="C41" s="95"/>
      <c r="D41" s="96"/>
      <c r="F41" s="104"/>
      <c r="G41" s="104"/>
      <c r="H41" s="105"/>
      <c r="I41" s="105"/>
      <c r="J41" s="105"/>
      <c r="K41" s="105">
        <f>COUNT(#REF!)</f>
        <v>0</v>
      </c>
      <c r="L41" s="105">
        <f>COUNT(#REF!)</f>
        <v>0</v>
      </c>
      <c r="M41" s="105">
        <f>COUNT(#REF!)</f>
        <v>0</v>
      </c>
      <c r="N41" s="105"/>
      <c r="O41" s="105">
        <f>COUNT(#REF!)</f>
        <v>0</v>
      </c>
      <c r="P41" s="105">
        <f>COUNT(#REF!)</f>
        <v>0</v>
      </c>
      <c r="Q41" s="105">
        <f>COUNT(#REF!)</f>
        <v>0</v>
      </c>
      <c r="R41" s="105">
        <f>COUNT(#REF!)</f>
        <v>0</v>
      </c>
      <c r="S41" s="105">
        <f>COUNT(#REF!)</f>
        <v>0</v>
      </c>
      <c r="T41" s="105">
        <f>COUNT(#REF!)</f>
        <v>0</v>
      </c>
      <c r="U41" s="105">
        <f>COUNT(#REF!)</f>
        <v>0</v>
      </c>
      <c r="V41" s="105">
        <f>COUNT(#REF!)</f>
        <v>0</v>
      </c>
      <c r="W41" s="105">
        <f>COUNT(#REF!)</f>
        <v>0</v>
      </c>
      <c r="X41" s="105">
        <f>COUNT(#REF!)</f>
        <v>0</v>
      </c>
      <c r="Y41" s="105">
        <f>COUNT(#REF!)</f>
        <v>0</v>
      </c>
      <c r="Z41" s="105">
        <f>COUNT(#REF!)</f>
        <v>0</v>
      </c>
      <c r="AA41" s="105">
        <f>COUNT(#REF!)</f>
        <v>0</v>
      </c>
      <c r="AB41" s="105">
        <f>COUNT(#REF!)</f>
        <v>0</v>
      </c>
      <c r="AC41" s="105">
        <f>COUNT(#REF!)</f>
        <v>0</v>
      </c>
      <c r="AD41" s="105">
        <f>COUNT(#REF!)</f>
        <v>0</v>
      </c>
      <c r="AE41" s="105">
        <f>COUNT(#REF!)</f>
        <v>0</v>
      </c>
      <c r="AF41" s="105">
        <f>COUNT(#REF!)</f>
        <v>0</v>
      </c>
      <c r="AG41" s="105">
        <f>COUNT(#REF!)</f>
        <v>0</v>
      </c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</row>
    <row r="42" spans="1:65" s="98" customFormat="1" x14ac:dyDescent="0.25">
      <c r="A42" s="95"/>
      <c r="B42" s="98" t="s">
        <v>46</v>
      </c>
      <c r="C42" s="95"/>
      <c r="D42" s="96"/>
      <c r="F42" s="104"/>
      <c r="G42" s="104"/>
      <c r="H42" s="105"/>
      <c r="I42" s="105"/>
      <c r="J42" s="105"/>
      <c r="K42" s="105">
        <v>9</v>
      </c>
      <c r="L42" s="105">
        <v>9</v>
      </c>
      <c r="M42" s="105">
        <v>9</v>
      </c>
      <c r="N42" s="105"/>
      <c r="O42" s="105">
        <v>9</v>
      </c>
      <c r="P42" s="105">
        <v>9</v>
      </c>
      <c r="Q42" s="105">
        <v>9</v>
      </c>
      <c r="R42" s="105">
        <v>9</v>
      </c>
      <c r="S42" s="105">
        <v>9</v>
      </c>
      <c r="T42" s="105">
        <v>9</v>
      </c>
      <c r="U42" s="105">
        <v>9</v>
      </c>
      <c r="V42" s="105">
        <v>9</v>
      </c>
      <c r="W42" s="105">
        <v>9</v>
      </c>
      <c r="X42" s="105">
        <v>9</v>
      </c>
      <c r="Y42" s="105">
        <v>9</v>
      </c>
      <c r="Z42" s="105">
        <v>9</v>
      </c>
      <c r="AA42" s="105">
        <v>9</v>
      </c>
      <c r="AB42" s="105">
        <v>9</v>
      </c>
      <c r="AC42" s="105">
        <v>9</v>
      </c>
      <c r="AD42" s="105">
        <v>9</v>
      </c>
      <c r="AE42" s="105">
        <v>9</v>
      </c>
      <c r="AF42" s="105">
        <v>9</v>
      </c>
      <c r="AG42" s="105">
        <v>9</v>
      </c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</row>
    <row r="43" spans="1:65" x14ac:dyDescent="0.25">
      <c r="B43" s="107" t="s">
        <v>47</v>
      </c>
      <c r="C43" s="108"/>
      <c r="D43" s="109"/>
      <c r="E43" s="107"/>
      <c r="F43" s="110"/>
      <c r="G43" s="110"/>
      <c r="H43" s="111"/>
      <c r="I43" s="111"/>
      <c r="J43" s="111"/>
      <c r="K43" s="111">
        <f>SUM(K22:K42)</f>
        <v>12</v>
      </c>
      <c r="L43" s="111">
        <f t="shared" ref="L43:W43" si="31">SUM(L22:L42)</f>
        <v>12</v>
      </c>
      <c r="M43" s="111">
        <f t="shared" si="31"/>
        <v>11</v>
      </c>
      <c r="N43" s="111"/>
      <c r="O43" s="111">
        <f t="shared" si="31"/>
        <v>12</v>
      </c>
      <c r="P43" s="111">
        <f t="shared" si="31"/>
        <v>13</v>
      </c>
      <c r="Q43" s="111">
        <f t="shared" si="31"/>
        <v>13</v>
      </c>
      <c r="R43" s="111">
        <f t="shared" si="31"/>
        <v>13</v>
      </c>
      <c r="S43" s="111">
        <f t="shared" si="31"/>
        <v>13</v>
      </c>
      <c r="T43" s="111">
        <f t="shared" si="31"/>
        <v>11</v>
      </c>
      <c r="U43" s="111">
        <f t="shared" si="31"/>
        <v>11</v>
      </c>
      <c r="V43" s="111">
        <f t="shared" si="31"/>
        <v>11</v>
      </c>
      <c r="W43" s="111">
        <f t="shared" si="31"/>
        <v>11</v>
      </c>
      <c r="X43" s="111">
        <f t="shared" ref="X43:AA43" si="32">SUM(X22:X42)</f>
        <v>11</v>
      </c>
      <c r="Y43" s="111">
        <f t="shared" si="32"/>
        <v>11</v>
      </c>
      <c r="Z43" s="111">
        <f t="shared" si="32"/>
        <v>12</v>
      </c>
      <c r="AA43" s="111">
        <f t="shared" si="32"/>
        <v>13</v>
      </c>
      <c r="AB43" s="111">
        <f t="shared" ref="AB43:AD43" si="33">SUM(AB22:AB42)</f>
        <v>10</v>
      </c>
      <c r="AC43" s="111">
        <f t="shared" si="33"/>
        <v>11</v>
      </c>
      <c r="AD43" s="111">
        <f t="shared" si="33"/>
        <v>13</v>
      </c>
      <c r="AE43" s="111">
        <f t="shared" ref="AE43" si="34">SUM(AE22:AE42)</f>
        <v>13</v>
      </c>
      <c r="AF43" s="111">
        <f>SUM(AF22:AF42)</f>
        <v>13</v>
      </c>
      <c r="AG43" s="111">
        <f>SUM(AG22:AG42)</f>
        <v>13</v>
      </c>
    </row>
    <row r="45" spans="1:65" x14ac:dyDescent="0.25">
      <c r="K45" s="105">
        <f>K43-K42</f>
        <v>3</v>
      </c>
    </row>
    <row r="47" spans="1:65" x14ac:dyDescent="0.25">
      <c r="K47" s="105">
        <v>283</v>
      </c>
    </row>
    <row r="49" spans="9:33" x14ac:dyDescent="0.25">
      <c r="K49" s="105" t="e">
        <f>#REF!+#REF!+#REF!+#REF!+#REF!+#REF!+#REF!+#REF!+#REF!+#REF!+#REF!+#REF!+#REF!+#REF!+#REF!+#REF!+#REF!+#REF!+#REF!+#REF!+#REF!+#REF!+#REF!+'[1]Grounds keeping'!E6+'[1]Male office'!E5+#REF!+#REF!+#REF!</f>
        <v>#REF!</v>
      </c>
      <c r="L49" s="105" t="e">
        <f>#REF!+#REF!+#REF!+#REF!+#REF!+#REF!+#REF!+#REF!+#REF!+#REF!+#REF!+#REF!+#REF!+#REF!+#REF!+#REF!+#REF!+#REF!+#REF!+#REF!+#REF!+#REF!+#REF!+'[1]Grounds keeping'!F6+'[1]Male office'!F5+#REF!+#REF!+#REF!</f>
        <v>#REF!</v>
      </c>
      <c r="M49" s="105" t="e">
        <f>#REF!+#REF!+#REF!+#REF!+#REF!+#REF!+#REF!+#REF!+#REF!+#REF!+#REF!+#REF!+#REF!+#REF!+#REF!+#REF!+#REF!+#REF!+#REF!+#REF!+#REF!+#REF!+#REF!+'[1]Grounds keeping'!G6+'[1]Male office'!G5+#REF!+#REF!+#REF!</f>
        <v>#REF!</v>
      </c>
      <c r="O49" s="105" t="e">
        <f>#REF!+#REF!+#REF!+#REF!+#REF!+#REF!+#REF!+#REF!+#REF!+#REF!+#REF!+#REF!+#REF!+#REF!+#REF!+#REF!+#REF!+#REF!+#REF!+#REF!+#REF!+#REF!+#REF!+'[1]Grounds keeping'!H6+'[1]Male office'!H5+#REF!+#REF!</f>
        <v>#REF!</v>
      </c>
      <c r="P49" s="105" t="e">
        <f>#REF!+#REF!+#REF!+#REF!+#REF!+#REF!+#REF!+#REF!+#REF!+#REF!+#REF!+#REF!+#REF!+#REF!+#REF!+#REF!+#REF!+#REF!+#REF!+#REF!+#REF!+#REF!+#REF!+'[1]Grounds keeping'!I6+'[1]Male office'!I5+#REF!+#REF!</f>
        <v>#REF!</v>
      </c>
      <c r="Q49" s="105" t="e">
        <f>#REF!+#REF!+#REF!+#REF!+#REF!+#REF!+#REF!+#REF!+#REF!+#REF!+#REF!+#REF!+#REF!+#REF!+#REF!+#REF!+#REF!+#REF!+#REF!+#REF!+#REF!+#REF!+#REF!+'[1]Grounds keeping'!J6+'[1]Male office'!J5+#REF!+#REF!</f>
        <v>#REF!</v>
      </c>
      <c r="R49" s="105" t="e">
        <f>#REF!+#REF!+#REF!+#REF!+#REF!+#REF!+#REF!+#REF!+#REF!+#REF!+#REF!+#REF!+#REF!+#REF!+#REF!+#REF!+#REF!+#REF!+#REF!+#REF!+#REF!+#REF!+#REF!+'[1]Grounds keeping'!K6+'[1]Male office'!K5+#REF!+#REF!</f>
        <v>#REF!</v>
      </c>
      <c r="S49" s="105" t="e">
        <f>#REF!+#REF!+#REF!+#REF!+#REF!+#REF!+#REF!+#REF!+#REF!+#REF!+#REF!+#REF!+#REF!+#REF!+#REF!+#REF!+#REF!+#REF!+#REF!+#REF!+#REF!+#REF!+#REF!+'[1]Grounds keeping'!L6+'[1]Male office'!L5+#REF!+#REF!</f>
        <v>#REF!</v>
      </c>
      <c r="T49" s="105" t="e">
        <f>#REF!+#REF!+#REF!+#REF!+#REF!+#REF!+#REF!+#REF!+#REF!+#REF!+#REF!+#REF!+#REF!+#REF!+#REF!+#REF!+#REF!+#REF!+#REF!+#REF!+#REF!+#REF!+#REF!+'[1]Grounds keeping'!M6+'[1]Male office'!M5+#REF!+#REF!</f>
        <v>#REF!</v>
      </c>
      <c r="U49" s="105" t="e">
        <f>#REF!+#REF!+#REF!+#REF!+#REF!+#REF!+#REF!+#REF!+#REF!+#REF!+#REF!+#REF!+#REF!+#REF!+#REF!+#REF!+#REF!+#REF!+#REF!+#REF!+#REF!+#REF!+#REF!+'[1]Grounds keeping'!N6+'[1]Male office'!N5+#REF!+#REF!</f>
        <v>#REF!</v>
      </c>
      <c r="V49" s="105" t="e">
        <f>#REF!+#REF!+#REF!+#REF!+#REF!+#REF!+#REF!+#REF!+#REF!+#REF!+#REF!+#REF!+#REF!+#REF!+#REF!+#REF!+#REF!+#REF!+#REF!+#REF!+#REF!+#REF!+#REF!+'[1]Grounds keeping'!O6+'[1]Male office'!O5+#REF!+#REF!</f>
        <v>#REF!</v>
      </c>
      <c r="W49" s="105" t="e">
        <f>#REF!+#REF!+#REF!+#REF!+#REF!+#REF!+#REF!+#REF!+#REF!+#REF!+#REF!+#REF!+#REF!+#REF!+#REF!+#REF!+#REF!+#REF!+#REF!+#REF!+#REF!+#REF!+#REF!+'[1]Grounds keeping'!P6+'[1]Male office'!P5+#REF!+#REF!</f>
        <v>#REF!</v>
      </c>
      <c r="X49" s="105" t="e">
        <f>#REF!+#REF!+#REF!+#REF!+#REF!+#REF!+#REF!+#REF!+#REF!+#REF!+#REF!+#REF!+#REF!+#REF!+#REF!+#REF!+#REF!+#REF!+#REF!+#REF!+#REF!+#REF!+#REF!+'[1]Grounds keeping'!Q6+'[1]Male office'!Q5+#REF!+#REF!</f>
        <v>#REF!</v>
      </c>
      <c r="Y49" s="105" t="e">
        <f>#REF!+#REF!+#REF!+#REF!+#REF!+#REF!+#REF!+#REF!+#REF!+#REF!+#REF!+#REF!+#REF!+#REF!+#REF!+#REF!+#REF!+#REF!+#REF!+#REF!+#REF!+#REF!+#REF!+'[1]Grounds keeping'!R6+'[1]Male office'!R5+#REF!+#REF!</f>
        <v>#REF!</v>
      </c>
      <c r="Z49" s="105" t="e">
        <f>#REF!+#REF!+#REF!+#REF!+#REF!+#REF!+#REF!+#REF!+#REF!+#REF!+#REF!+#REF!+#REF!+#REF!+#REF!+#REF!+#REF!+#REF!+#REF!+#REF!+#REF!+#REF!+#REF!+'[1]Grounds keeping'!S6+'[1]Male office'!S5+#REF!+#REF!</f>
        <v>#REF!</v>
      </c>
      <c r="AA49" s="105" t="e">
        <f>#REF!+#REF!+#REF!+#REF!+#REF!+#REF!+#REF!+#REF!+#REF!+#REF!+#REF!+#REF!+#REF!+#REF!+#REF!+#REF!+#REF!+#REF!+#REF!+#REF!+#REF!+#REF!+#REF!+'[1]Grounds keeping'!T6+'[1]Male office'!T5+#REF!+#REF!</f>
        <v>#REF!</v>
      </c>
      <c r="AB49" s="105" t="e">
        <f>#REF!+#REF!+#REF!+#REF!+#REF!+#REF!+#REF!+#REF!+#REF!+#REF!+#REF!+#REF!+#REF!+#REF!+#REF!+#REF!+#REF!+#REF!+#REF!+#REF!+#REF!+#REF!+#REF!+'[1]Grounds keeping'!U6+'[1]Male office'!U5+#REF!+#REF!</f>
        <v>#REF!</v>
      </c>
      <c r="AC49" s="105" t="e">
        <f>#REF!+#REF!+#REF!+#REF!+#REF!+#REF!+#REF!+#REF!+#REF!+#REF!+#REF!+#REF!+#REF!+#REF!+#REF!+#REF!+#REF!+#REF!+#REF!+#REF!+#REF!+#REF!+#REF!+'[1]Grounds keeping'!V6+'[1]Male office'!V5+#REF!+#REF!</f>
        <v>#REF!</v>
      </c>
      <c r="AD49" s="105" t="e">
        <f>#REF!+#REF!+#REF!+#REF!+#REF!+#REF!+#REF!+#REF!+#REF!+#REF!+#REF!+#REF!+#REF!+#REF!+#REF!+#REF!+#REF!+#REF!+#REF!+#REF!+#REF!+#REF!+#REF!+'[1]Grounds keeping'!W6+'[1]Male office'!W5+#REF!+#REF!</f>
        <v>#REF!</v>
      </c>
      <c r="AE49" s="105" t="e">
        <f>#REF!+#REF!+#REF!+#REF!+#REF!+#REF!+#REF!+#REF!+#REF!+#REF!+#REF!+#REF!+#REF!+#REF!+#REF!+#REF!+#REF!+#REF!+#REF!+#REF!+#REF!+#REF!+#REF!+'[1]Grounds keeping'!X6+'[1]Male office'!X5+#REF!+#REF!</f>
        <v>#REF!</v>
      </c>
      <c r="AF49" s="105" t="e">
        <f>#REF!+#REF!+#REF!+#REF!+#REF!+#REF!+#REF!+#REF!+#REF!+#REF!+#REF!+#REF!+#REF!+#REF!+#REF!+#REF!+#REF!+#REF!+#REF!+#REF!+#REF!+#REF!+#REF!+'[1]Grounds keeping'!Y6+'[1]Male office'!Y5+#REF!+#REF!</f>
        <v>#REF!</v>
      </c>
      <c r="AG49" s="105" t="e">
        <f>#REF!+#REF!+#REF!+#REF!+#REF!+#REF!+#REF!+#REF!+#REF!+#REF!+#REF!+#REF!+#REF!+#REF!+#REF!+#REF!+#REF!+#REF!+#REF!+#REF!+#REF!+#REF!+#REF!+'[1]Grounds keeping'!Z6+'[1]Male office'!Z5+#REF!+#REF!</f>
        <v>#REF!</v>
      </c>
    </row>
    <row r="50" spans="9:33" x14ac:dyDescent="0.25">
      <c r="I50" s="104" t="s">
        <v>48</v>
      </c>
      <c r="J50" s="104"/>
      <c r="K50" s="112" t="e">
        <f>#REF!-K49</f>
        <v>#REF!</v>
      </c>
      <c r="L50" s="112" t="e">
        <f>#REF!-L49</f>
        <v>#REF!</v>
      </c>
      <c r="M50" s="112" t="e">
        <f>#REF!-M49</f>
        <v>#REF!</v>
      </c>
      <c r="N50" s="112" t="e">
        <f>#REF!-N49</f>
        <v>#REF!</v>
      </c>
      <c r="O50" s="112" t="e">
        <f>#REF!-O49</f>
        <v>#REF!</v>
      </c>
      <c r="P50" s="112" t="e">
        <f>#REF!-P49</f>
        <v>#REF!</v>
      </c>
      <c r="Q50" s="112" t="e">
        <f>#REF!-Q49</f>
        <v>#REF!</v>
      </c>
      <c r="R50" s="112" t="e">
        <f>#REF!-R49</f>
        <v>#REF!</v>
      </c>
      <c r="S50" s="112" t="e">
        <f>#REF!-S49</f>
        <v>#REF!</v>
      </c>
      <c r="T50" s="112" t="e">
        <f>#REF!-T49</f>
        <v>#REF!</v>
      </c>
      <c r="U50" s="112" t="e">
        <f>#REF!-U49</f>
        <v>#REF!</v>
      </c>
      <c r="V50" s="112" t="e">
        <f>#REF!-V49</f>
        <v>#REF!</v>
      </c>
      <c r="W50" s="112" t="e">
        <f>#REF!-W49</f>
        <v>#REF!</v>
      </c>
      <c r="X50" s="112" t="e">
        <f>#REF!-X49</f>
        <v>#REF!</v>
      </c>
      <c r="Y50" s="112" t="e">
        <f>#REF!-Y49</f>
        <v>#REF!</v>
      </c>
      <c r="Z50" s="112" t="e">
        <f>#REF!-Z49</f>
        <v>#REF!</v>
      </c>
      <c r="AA50" s="112" t="e">
        <f>#REF!-AA49</f>
        <v>#REF!</v>
      </c>
      <c r="AB50" s="112" t="e">
        <f>#REF!-AB49</f>
        <v>#REF!</v>
      </c>
      <c r="AC50" s="112" t="e">
        <f>#REF!-AC49</f>
        <v>#REF!</v>
      </c>
      <c r="AD50" s="112" t="e">
        <f>#REF!-AD49</f>
        <v>#REF!</v>
      </c>
      <c r="AE50" s="112" t="e">
        <f>#REF!-AE49</f>
        <v>#REF!</v>
      </c>
      <c r="AF50" s="112" t="e">
        <f>#REF!-AF49</f>
        <v>#REF!</v>
      </c>
      <c r="AG50" s="112" t="e">
        <f>#REF!-AG49</f>
        <v>#REF!</v>
      </c>
    </row>
    <row r="51" spans="9:33" x14ac:dyDescent="0.25">
      <c r="N51" s="105" t="e">
        <f>O49-M49</f>
        <v>#REF!</v>
      </c>
    </row>
    <row r="52" spans="9:33" x14ac:dyDescent="0.25">
      <c r="N52" s="105" t="e">
        <f>N51*9</f>
        <v>#REF!</v>
      </c>
    </row>
  </sheetData>
  <mergeCells count="3">
    <mergeCell ref="I1:O1"/>
    <mergeCell ref="A3:B3"/>
    <mergeCell ref="A14:B14"/>
  </mergeCells>
  <conditionalFormatting sqref="C15:D16 C4:D11">
    <cfRule type="containsBlanks" dxfId="146" priority="147">
      <formula>LEN(TRIM(C4))=0</formula>
    </cfRule>
  </conditionalFormatting>
  <conditionalFormatting sqref="C18:D18">
    <cfRule type="containsBlanks" dxfId="144" priority="145">
      <formula>LEN(TRIM(C18))=0</formula>
    </cfRule>
  </conditionalFormatting>
  <conditionalFormatting sqref="C17:D17">
    <cfRule type="containsBlanks" dxfId="143" priority="144">
      <formula>LEN(TRIM(C17))=0</formula>
    </cfRule>
  </conditionalFormatting>
  <dataValidations count="1">
    <dataValidation type="list" allowBlank="1" showInputMessage="1" showErrorMessage="1" sqref="FQ65449:FQ65450 PM65449:PM65450 ZI65449:ZI65450 AJE65449:AJE65450 ATA65449:ATA65450 BCW65449:BCW65450 BMS65449:BMS65450 BWO65449:BWO65450 CGK65449:CGK65450 CQG65449:CQG65450 DAC65449:DAC65450 DJY65449:DJY65450 DTU65449:DTU65450 EDQ65449:EDQ65450 ENM65449:ENM65450 EXI65449:EXI65450 FHE65449:FHE65450 FRA65449:FRA65450 GAW65449:GAW65450 GKS65449:GKS65450 GUO65449:GUO65450 HEK65449:HEK65450 HOG65449:HOG65450 HYC65449:HYC65450 IHY65449:IHY65450 IRU65449:IRU65450 JBQ65449:JBQ65450 JLM65449:JLM65450 JVI65449:JVI65450 KFE65449:KFE65450 KPA65449:KPA65450 KYW65449:KYW65450 LIS65449:LIS65450 LSO65449:LSO65450 MCK65449:MCK65450 MMG65449:MMG65450 MWC65449:MWC65450 NFY65449:NFY65450 NPU65449:NPU65450 NZQ65449:NZQ65450 OJM65449:OJM65450 OTI65449:OTI65450 PDE65449:PDE65450 PNA65449:PNA65450 PWW65449:PWW65450 QGS65449:QGS65450 QQO65449:QQO65450 RAK65449:RAK65450 RKG65449:RKG65450 RUC65449:RUC65450 SDY65449:SDY65450 SNU65449:SNU65450 SXQ65449:SXQ65450 THM65449:THM65450 TRI65449:TRI65450 UBE65449:UBE65450 ULA65449:ULA65450 UUW65449:UUW65450 VES65449:VES65450 VOO65449:VOO65450 VYK65449:VYK65450 WIG65449:WIG65450 WSC65449:WSC65450 FQ130985:FQ130986 PM130985:PM130986 ZI130985:ZI130986 AJE130985:AJE130986 ATA130985:ATA130986 BCW130985:BCW130986 BMS130985:BMS130986 BWO130985:BWO130986 CGK130985:CGK130986 CQG130985:CQG130986 DAC130985:DAC130986 DJY130985:DJY130986 DTU130985:DTU130986 EDQ130985:EDQ130986 ENM130985:ENM130986 EXI130985:EXI130986 FHE130985:FHE130986 FRA130985:FRA130986 GAW130985:GAW130986 GKS130985:GKS130986 GUO130985:GUO130986 HEK130985:HEK130986 HOG130985:HOG130986 HYC130985:HYC130986 IHY130985:IHY130986 IRU130985:IRU130986 JBQ130985:JBQ130986 JLM130985:JLM130986 JVI130985:JVI130986 KFE130985:KFE130986 KPA130985:KPA130986 KYW130985:KYW130986 LIS130985:LIS130986 LSO130985:LSO130986 MCK130985:MCK130986 MMG130985:MMG130986 MWC130985:MWC130986 NFY130985:NFY130986 NPU130985:NPU130986 NZQ130985:NZQ130986 OJM130985:OJM130986 OTI130985:OTI130986 PDE130985:PDE130986 PNA130985:PNA130986 PWW130985:PWW130986 QGS130985:QGS130986 QQO130985:QQO130986 RAK130985:RAK130986 RKG130985:RKG130986 RUC130985:RUC130986 SDY130985:SDY130986 SNU130985:SNU130986 SXQ130985:SXQ130986 THM130985:THM130986 TRI130985:TRI130986 UBE130985:UBE130986 ULA130985:ULA130986 UUW130985:UUW130986 VES130985:VES130986 VOO130985:VOO130986 VYK130985:VYK130986 WIG130985:WIG130986 WSC130985:WSC130986 FQ196521:FQ196522 PM196521:PM196522 ZI196521:ZI196522 AJE196521:AJE196522 ATA196521:ATA196522 BCW196521:BCW196522 BMS196521:BMS196522 BWO196521:BWO196522 CGK196521:CGK196522 CQG196521:CQG196522 DAC196521:DAC196522 DJY196521:DJY196522 DTU196521:DTU196522 EDQ196521:EDQ196522 ENM196521:ENM196522 EXI196521:EXI196522 FHE196521:FHE196522 FRA196521:FRA196522 GAW196521:GAW196522 GKS196521:GKS196522 GUO196521:GUO196522 HEK196521:HEK196522 HOG196521:HOG196522 HYC196521:HYC196522 IHY196521:IHY196522 IRU196521:IRU196522 JBQ196521:JBQ196522 JLM196521:JLM196522 JVI196521:JVI196522 KFE196521:KFE196522 KPA196521:KPA196522 KYW196521:KYW196522 LIS196521:LIS196522 LSO196521:LSO196522 MCK196521:MCK196522 MMG196521:MMG196522 MWC196521:MWC196522 NFY196521:NFY196522 NPU196521:NPU196522 NZQ196521:NZQ196522 OJM196521:OJM196522 OTI196521:OTI196522 PDE196521:PDE196522 PNA196521:PNA196522 PWW196521:PWW196522 QGS196521:QGS196522 QQO196521:QQO196522 RAK196521:RAK196522 RKG196521:RKG196522 RUC196521:RUC196522 SDY196521:SDY196522 SNU196521:SNU196522 SXQ196521:SXQ196522 THM196521:THM196522 TRI196521:TRI196522 UBE196521:UBE196522 ULA196521:ULA196522 UUW196521:UUW196522 VES196521:VES196522 VOO196521:VOO196522 VYK196521:VYK196522 WIG196521:WIG196522 WSC196521:WSC196522 FQ262057:FQ262058 PM262057:PM262058 ZI262057:ZI262058 AJE262057:AJE262058 ATA262057:ATA262058 BCW262057:BCW262058 BMS262057:BMS262058 BWO262057:BWO262058 CGK262057:CGK262058 CQG262057:CQG262058 DAC262057:DAC262058 DJY262057:DJY262058 DTU262057:DTU262058 EDQ262057:EDQ262058 ENM262057:ENM262058 EXI262057:EXI262058 FHE262057:FHE262058 FRA262057:FRA262058 GAW262057:GAW262058 GKS262057:GKS262058 GUO262057:GUO262058 HEK262057:HEK262058 HOG262057:HOG262058 HYC262057:HYC262058 IHY262057:IHY262058 IRU262057:IRU262058 JBQ262057:JBQ262058 JLM262057:JLM262058 JVI262057:JVI262058 KFE262057:KFE262058 KPA262057:KPA262058 KYW262057:KYW262058 LIS262057:LIS262058 LSO262057:LSO262058 MCK262057:MCK262058 MMG262057:MMG262058 MWC262057:MWC262058 NFY262057:NFY262058 NPU262057:NPU262058 NZQ262057:NZQ262058 OJM262057:OJM262058 OTI262057:OTI262058 PDE262057:PDE262058 PNA262057:PNA262058 PWW262057:PWW262058 QGS262057:QGS262058 QQO262057:QQO262058 RAK262057:RAK262058 RKG262057:RKG262058 RUC262057:RUC262058 SDY262057:SDY262058 SNU262057:SNU262058 SXQ262057:SXQ262058 THM262057:THM262058 TRI262057:TRI262058 UBE262057:UBE262058 ULA262057:ULA262058 UUW262057:UUW262058 VES262057:VES262058 VOO262057:VOO262058 VYK262057:VYK262058 WIG262057:WIG262058 WSC262057:WSC262058 FQ327593:FQ327594 PM327593:PM327594 ZI327593:ZI327594 AJE327593:AJE327594 ATA327593:ATA327594 BCW327593:BCW327594 BMS327593:BMS327594 BWO327593:BWO327594 CGK327593:CGK327594 CQG327593:CQG327594 DAC327593:DAC327594 DJY327593:DJY327594 DTU327593:DTU327594 EDQ327593:EDQ327594 ENM327593:ENM327594 EXI327593:EXI327594 FHE327593:FHE327594 FRA327593:FRA327594 GAW327593:GAW327594 GKS327593:GKS327594 GUO327593:GUO327594 HEK327593:HEK327594 HOG327593:HOG327594 HYC327593:HYC327594 IHY327593:IHY327594 IRU327593:IRU327594 JBQ327593:JBQ327594 JLM327593:JLM327594 JVI327593:JVI327594 KFE327593:KFE327594 KPA327593:KPA327594 KYW327593:KYW327594 LIS327593:LIS327594 LSO327593:LSO327594 MCK327593:MCK327594 MMG327593:MMG327594 MWC327593:MWC327594 NFY327593:NFY327594 NPU327593:NPU327594 NZQ327593:NZQ327594 OJM327593:OJM327594 OTI327593:OTI327594 PDE327593:PDE327594 PNA327593:PNA327594 PWW327593:PWW327594 QGS327593:QGS327594 QQO327593:QQO327594 RAK327593:RAK327594 RKG327593:RKG327594 RUC327593:RUC327594 SDY327593:SDY327594 SNU327593:SNU327594 SXQ327593:SXQ327594 THM327593:THM327594 TRI327593:TRI327594 UBE327593:UBE327594 ULA327593:ULA327594 UUW327593:UUW327594 VES327593:VES327594 VOO327593:VOO327594 VYK327593:VYK327594 WIG327593:WIG327594 WSC327593:WSC327594 FQ393129:FQ393130 PM393129:PM393130 ZI393129:ZI393130 AJE393129:AJE393130 ATA393129:ATA393130 BCW393129:BCW393130 BMS393129:BMS393130 BWO393129:BWO393130 CGK393129:CGK393130 CQG393129:CQG393130 DAC393129:DAC393130 DJY393129:DJY393130 DTU393129:DTU393130 EDQ393129:EDQ393130 ENM393129:ENM393130 EXI393129:EXI393130 FHE393129:FHE393130 FRA393129:FRA393130 GAW393129:GAW393130 GKS393129:GKS393130 GUO393129:GUO393130 HEK393129:HEK393130 HOG393129:HOG393130 HYC393129:HYC393130 IHY393129:IHY393130 IRU393129:IRU393130 JBQ393129:JBQ393130 JLM393129:JLM393130 JVI393129:JVI393130 KFE393129:KFE393130 KPA393129:KPA393130 KYW393129:KYW393130 LIS393129:LIS393130 LSO393129:LSO393130 MCK393129:MCK393130 MMG393129:MMG393130 MWC393129:MWC393130 NFY393129:NFY393130 NPU393129:NPU393130 NZQ393129:NZQ393130 OJM393129:OJM393130 OTI393129:OTI393130 PDE393129:PDE393130 PNA393129:PNA393130 PWW393129:PWW393130 QGS393129:QGS393130 QQO393129:QQO393130 RAK393129:RAK393130 RKG393129:RKG393130 RUC393129:RUC393130 SDY393129:SDY393130 SNU393129:SNU393130 SXQ393129:SXQ393130 THM393129:THM393130 TRI393129:TRI393130 UBE393129:UBE393130 ULA393129:ULA393130 UUW393129:UUW393130 VES393129:VES393130 VOO393129:VOO393130 VYK393129:VYK393130 WIG393129:WIG393130 WSC393129:WSC393130 FQ458665:FQ458666 PM458665:PM458666 ZI458665:ZI458666 AJE458665:AJE458666 ATA458665:ATA458666 BCW458665:BCW458666 BMS458665:BMS458666 BWO458665:BWO458666 CGK458665:CGK458666 CQG458665:CQG458666 DAC458665:DAC458666 DJY458665:DJY458666 DTU458665:DTU458666 EDQ458665:EDQ458666 ENM458665:ENM458666 EXI458665:EXI458666 FHE458665:FHE458666 FRA458665:FRA458666 GAW458665:GAW458666 GKS458665:GKS458666 GUO458665:GUO458666 HEK458665:HEK458666 HOG458665:HOG458666 HYC458665:HYC458666 IHY458665:IHY458666 IRU458665:IRU458666 JBQ458665:JBQ458666 JLM458665:JLM458666 JVI458665:JVI458666 KFE458665:KFE458666 KPA458665:KPA458666 KYW458665:KYW458666 LIS458665:LIS458666 LSO458665:LSO458666 MCK458665:MCK458666 MMG458665:MMG458666 MWC458665:MWC458666 NFY458665:NFY458666 NPU458665:NPU458666 NZQ458665:NZQ458666 OJM458665:OJM458666 OTI458665:OTI458666 PDE458665:PDE458666 PNA458665:PNA458666 PWW458665:PWW458666 QGS458665:QGS458666 QQO458665:QQO458666 RAK458665:RAK458666 RKG458665:RKG458666 RUC458665:RUC458666 SDY458665:SDY458666 SNU458665:SNU458666 SXQ458665:SXQ458666 THM458665:THM458666 TRI458665:TRI458666 UBE458665:UBE458666 ULA458665:ULA458666 UUW458665:UUW458666 VES458665:VES458666 VOO458665:VOO458666 VYK458665:VYK458666 WIG458665:WIG458666 WSC458665:WSC458666 FQ524201:FQ524202 PM524201:PM524202 ZI524201:ZI524202 AJE524201:AJE524202 ATA524201:ATA524202 BCW524201:BCW524202 BMS524201:BMS524202 BWO524201:BWO524202 CGK524201:CGK524202 CQG524201:CQG524202 DAC524201:DAC524202 DJY524201:DJY524202 DTU524201:DTU524202 EDQ524201:EDQ524202 ENM524201:ENM524202 EXI524201:EXI524202 FHE524201:FHE524202 FRA524201:FRA524202 GAW524201:GAW524202 GKS524201:GKS524202 GUO524201:GUO524202 HEK524201:HEK524202 HOG524201:HOG524202 HYC524201:HYC524202 IHY524201:IHY524202 IRU524201:IRU524202 JBQ524201:JBQ524202 JLM524201:JLM524202 JVI524201:JVI524202 KFE524201:KFE524202 KPA524201:KPA524202 KYW524201:KYW524202 LIS524201:LIS524202 LSO524201:LSO524202 MCK524201:MCK524202 MMG524201:MMG524202 MWC524201:MWC524202 NFY524201:NFY524202 NPU524201:NPU524202 NZQ524201:NZQ524202 OJM524201:OJM524202 OTI524201:OTI524202 PDE524201:PDE524202 PNA524201:PNA524202 PWW524201:PWW524202 QGS524201:QGS524202 QQO524201:QQO524202 RAK524201:RAK524202 RKG524201:RKG524202 RUC524201:RUC524202 SDY524201:SDY524202 SNU524201:SNU524202 SXQ524201:SXQ524202 THM524201:THM524202 TRI524201:TRI524202 UBE524201:UBE524202 ULA524201:ULA524202 UUW524201:UUW524202 VES524201:VES524202 VOO524201:VOO524202 VYK524201:VYK524202 WIG524201:WIG524202 WSC524201:WSC524202 FQ589737:FQ589738 PM589737:PM589738 ZI589737:ZI589738 AJE589737:AJE589738 ATA589737:ATA589738 BCW589737:BCW589738 BMS589737:BMS589738 BWO589737:BWO589738 CGK589737:CGK589738 CQG589737:CQG589738 DAC589737:DAC589738 DJY589737:DJY589738 DTU589737:DTU589738 EDQ589737:EDQ589738 ENM589737:ENM589738 EXI589737:EXI589738 FHE589737:FHE589738 FRA589737:FRA589738 GAW589737:GAW589738 GKS589737:GKS589738 GUO589737:GUO589738 HEK589737:HEK589738 HOG589737:HOG589738 HYC589737:HYC589738 IHY589737:IHY589738 IRU589737:IRU589738 JBQ589737:JBQ589738 JLM589737:JLM589738 JVI589737:JVI589738 KFE589737:KFE589738 KPA589737:KPA589738 KYW589737:KYW589738 LIS589737:LIS589738 LSO589737:LSO589738 MCK589737:MCK589738 MMG589737:MMG589738 MWC589737:MWC589738 NFY589737:NFY589738 NPU589737:NPU589738 NZQ589737:NZQ589738 OJM589737:OJM589738 OTI589737:OTI589738 PDE589737:PDE589738 PNA589737:PNA589738 PWW589737:PWW589738 QGS589737:QGS589738 QQO589737:QQO589738 RAK589737:RAK589738 RKG589737:RKG589738 RUC589737:RUC589738 SDY589737:SDY589738 SNU589737:SNU589738 SXQ589737:SXQ589738 THM589737:THM589738 TRI589737:TRI589738 UBE589737:UBE589738 ULA589737:ULA589738 UUW589737:UUW589738 VES589737:VES589738 VOO589737:VOO589738 VYK589737:VYK589738 WIG589737:WIG589738 WSC589737:WSC589738 FQ655273:FQ655274 PM655273:PM655274 ZI655273:ZI655274 AJE655273:AJE655274 ATA655273:ATA655274 BCW655273:BCW655274 BMS655273:BMS655274 BWO655273:BWO655274 CGK655273:CGK655274 CQG655273:CQG655274 DAC655273:DAC655274 DJY655273:DJY655274 DTU655273:DTU655274 EDQ655273:EDQ655274 ENM655273:ENM655274 EXI655273:EXI655274 FHE655273:FHE655274 FRA655273:FRA655274 GAW655273:GAW655274 GKS655273:GKS655274 GUO655273:GUO655274 HEK655273:HEK655274 HOG655273:HOG655274 HYC655273:HYC655274 IHY655273:IHY655274 IRU655273:IRU655274 JBQ655273:JBQ655274 JLM655273:JLM655274 JVI655273:JVI655274 KFE655273:KFE655274 KPA655273:KPA655274 KYW655273:KYW655274 LIS655273:LIS655274 LSO655273:LSO655274 MCK655273:MCK655274 MMG655273:MMG655274 MWC655273:MWC655274 NFY655273:NFY655274 NPU655273:NPU655274 NZQ655273:NZQ655274 OJM655273:OJM655274 OTI655273:OTI655274 PDE655273:PDE655274 PNA655273:PNA655274 PWW655273:PWW655274 QGS655273:QGS655274 QQO655273:QQO655274 RAK655273:RAK655274 RKG655273:RKG655274 RUC655273:RUC655274 SDY655273:SDY655274 SNU655273:SNU655274 SXQ655273:SXQ655274 THM655273:THM655274 TRI655273:TRI655274 UBE655273:UBE655274 ULA655273:ULA655274 UUW655273:UUW655274 VES655273:VES655274 VOO655273:VOO655274 VYK655273:VYK655274 WIG655273:WIG655274 WSC655273:WSC655274 FQ720809:FQ720810 PM720809:PM720810 ZI720809:ZI720810 AJE720809:AJE720810 ATA720809:ATA720810 BCW720809:BCW720810 BMS720809:BMS720810 BWO720809:BWO720810 CGK720809:CGK720810 CQG720809:CQG720810 DAC720809:DAC720810 DJY720809:DJY720810 DTU720809:DTU720810 EDQ720809:EDQ720810 ENM720809:ENM720810 EXI720809:EXI720810 FHE720809:FHE720810 FRA720809:FRA720810 GAW720809:GAW720810 GKS720809:GKS720810 GUO720809:GUO720810 HEK720809:HEK720810 HOG720809:HOG720810 HYC720809:HYC720810 IHY720809:IHY720810 IRU720809:IRU720810 JBQ720809:JBQ720810 JLM720809:JLM720810 JVI720809:JVI720810 KFE720809:KFE720810 KPA720809:KPA720810 KYW720809:KYW720810 LIS720809:LIS720810 LSO720809:LSO720810 MCK720809:MCK720810 MMG720809:MMG720810 MWC720809:MWC720810 NFY720809:NFY720810 NPU720809:NPU720810 NZQ720809:NZQ720810 OJM720809:OJM720810 OTI720809:OTI720810 PDE720809:PDE720810 PNA720809:PNA720810 PWW720809:PWW720810 QGS720809:QGS720810 QQO720809:QQO720810 RAK720809:RAK720810 RKG720809:RKG720810 RUC720809:RUC720810 SDY720809:SDY720810 SNU720809:SNU720810 SXQ720809:SXQ720810 THM720809:THM720810 TRI720809:TRI720810 UBE720809:UBE720810 ULA720809:ULA720810 UUW720809:UUW720810 VES720809:VES720810 VOO720809:VOO720810 VYK720809:VYK720810 WIG720809:WIG720810 WSC720809:WSC720810 FQ786345:FQ786346 PM786345:PM786346 ZI786345:ZI786346 AJE786345:AJE786346 ATA786345:ATA786346 BCW786345:BCW786346 BMS786345:BMS786346 BWO786345:BWO786346 CGK786345:CGK786346 CQG786345:CQG786346 DAC786345:DAC786346 DJY786345:DJY786346 DTU786345:DTU786346 EDQ786345:EDQ786346 ENM786345:ENM786346 EXI786345:EXI786346 FHE786345:FHE786346 FRA786345:FRA786346 GAW786345:GAW786346 GKS786345:GKS786346 GUO786345:GUO786346 HEK786345:HEK786346 HOG786345:HOG786346 HYC786345:HYC786346 IHY786345:IHY786346 IRU786345:IRU786346 JBQ786345:JBQ786346 JLM786345:JLM786346 JVI786345:JVI786346 KFE786345:KFE786346 KPA786345:KPA786346 KYW786345:KYW786346 LIS786345:LIS786346 LSO786345:LSO786346 MCK786345:MCK786346 MMG786345:MMG786346 MWC786345:MWC786346 NFY786345:NFY786346 NPU786345:NPU786346 NZQ786345:NZQ786346 OJM786345:OJM786346 OTI786345:OTI786346 PDE786345:PDE786346 PNA786345:PNA786346 PWW786345:PWW786346 QGS786345:QGS786346 QQO786345:QQO786346 RAK786345:RAK786346 RKG786345:RKG786346 RUC786345:RUC786346 SDY786345:SDY786346 SNU786345:SNU786346 SXQ786345:SXQ786346 THM786345:THM786346 TRI786345:TRI786346 UBE786345:UBE786346 ULA786345:ULA786346 UUW786345:UUW786346 VES786345:VES786346 VOO786345:VOO786346 VYK786345:VYK786346 WIG786345:WIG786346 WSC786345:WSC786346 FQ851881:FQ851882 PM851881:PM851882 ZI851881:ZI851882 AJE851881:AJE851882 ATA851881:ATA851882 BCW851881:BCW851882 BMS851881:BMS851882 BWO851881:BWO851882 CGK851881:CGK851882 CQG851881:CQG851882 DAC851881:DAC851882 DJY851881:DJY851882 DTU851881:DTU851882 EDQ851881:EDQ851882 ENM851881:ENM851882 EXI851881:EXI851882 FHE851881:FHE851882 FRA851881:FRA851882 GAW851881:GAW851882 GKS851881:GKS851882 GUO851881:GUO851882 HEK851881:HEK851882 HOG851881:HOG851882 HYC851881:HYC851882 IHY851881:IHY851882 IRU851881:IRU851882 JBQ851881:JBQ851882 JLM851881:JLM851882 JVI851881:JVI851882 KFE851881:KFE851882 KPA851881:KPA851882 KYW851881:KYW851882 LIS851881:LIS851882 LSO851881:LSO851882 MCK851881:MCK851882 MMG851881:MMG851882 MWC851881:MWC851882 NFY851881:NFY851882 NPU851881:NPU851882 NZQ851881:NZQ851882 OJM851881:OJM851882 OTI851881:OTI851882 PDE851881:PDE851882 PNA851881:PNA851882 PWW851881:PWW851882 QGS851881:QGS851882 QQO851881:QQO851882 RAK851881:RAK851882 RKG851881:RKG851882 RUC851881:RUC851882 SDY851881:SDY851882 SNU851881:SNU851882 SXQ851881:SXQ851882 THM851881:THM851882 TRI851881:TRI851882 UBE851881:UBE851882 ULA851881:ULA851882 UUW851881:UUW851882 VES851881:VES851882 VOO851881:VOO851882 VYK851881:VYK851882 WIG851881:WIG851882 WSC851881:WSC851882 FQ917417:FQ917418 PM917417:PM917418 ZI917417:ZI917418 AJE917417:AJE917418 ATA917417:ATA917418 BCW917417:BCW917418 BMS917417:BMS917418 BWO917417:BWO917418 CGK917417:CGK917418 CQG917417:CQG917418 DAC917417:DAC917418 DJY917417:DJY917418 DTU917417:DTU917418 EDQ917417:EDQ917418 ENM917417:ENM917418 EXI917417:EXI917418 FHE917417:FHE917418 FRA917417:FRA917418 GAW917417:GAW917418 GKS917417:GKS917418 GUO917417:GUO917418 HEK917417:HEK917418 HOG917417:HOG917418 HYC917417:HYC917418 IHY917417:IHY917418 IRU917417:IRU917418 JBQ917417:JBQ917418 JLM917417:JLM917418 JVI917417:JVI917418 KFE917417:KFE917418 KPA917417:KPA917418 KYW917417:KYW917418 LIS917417:LIS917418 LSO917417:LSO917418 MCK917417:MCK917418 MMG917417:MMG917418 MWC917417:MWC917418 NFY917417:NFY917418 NPU917417:NPU917418 NZQ917417:NZQ917418 OJM917417:OJM917418 OTI917417:OTI917418 PDE917417:PDE917418 PNA917417:PNA917418 PWW917417:PWW917418 QGS917417:QGS917418 QQO917417:QQO917418 RAK917417:RAK917418 RKG917417:RKG917418 RUC917417:RUC917418 SDY917417:SDY917418 SNU917417:SNU917418 SXQ917417:SXQ917418 THM917417:THM917418 TRI917417:TRI917418 UBE917417:UBE917418 ULA917417:ULA917418 UUW917417:UUW917418 VES917417:VES917418 VOO917417:VOO917418 VYK917417:VYK917418 WIG917417:WIG917418 WSC917417:WSC917418 FQ982953:FQ982954 PM982953:PM982954 ZI982953:ZI982954 AJE982953:AJE982954 ATA982953:ATA982954 BCW982953:BCW982954 BMS982953:BMS982954 BWO982953:BWO982954 CGK982953:CGK982954 CQG982953:CQG982954 DAC982953:DAC982954 DJY982953:DJY982954 DTU982953:DTU982954 EDQ982953:EDQ982954 ENM982953:ENM982954 EXI982953:EXI982954 FHE982953:FHE982954 FRA982953:FRA982954 GAW982953:GAW982954 GKS982953:GKS982954 GUO982953:GUO982954 HEK982953:HEK982954 HOG982953:HOG982954 HYC982953:HYC982954 IHY982953:IHY982954 IRU982953:IRU982954 JBQ982953:JBQ982954 JLM982953:JLM982954 JVI982953:JVI982954 KFE982953:KFE982954 KPA982953:KPA982954 KYW982953:KYW982954 LIS982953:LIS982954 LSO982953:LSO982954 MCK982953:MCK982954 MMG982953:MMG982954 MWC982953:MWC982954 NFY982953:NFY982954 NPU982953:NPU982954 NZQ982953:NZQ982954 OJM982953:OJM982954 OTI982953:OTI982954 PDE982953:PDE982954 PNA982953:PNA982954 PWW982953:PWW982954 QGS982953:QGS982954 QQO982953:QQO982954 RAK982953:RAK982954 RKG982953:RKG982954 RUC982953:RUC982954 SDY982953:SDY982954 SNU982953:SNU982954 SXQ982953:SXQ982954 THM982953:THM982954 TRI982953:TRI982954 UBE982953:UBE982954 ULA982953:ULA982954 UUW982953:UUW982954 VES982953:VES982954 VOO982953:VOO982954 VYK982953:VYK982954 WIG982953:WIG982954 WSC982953:WSC982954 FQ65465:FQ65468 PM65465:PM65468 ZI65465:ZI65468 AJE65465:AJE65468 ATA65465:ATA65468 BCW65465:BCW65468 BMS65465:BMS65468 BWO65465:BWO65468 CGK65465:CGK65468 CQG65465:CQG65468 DAC65465:DAC65468 DJY65465:DJY65468 DTU65465:DTU65468 EDQ65465:EDQ65468 ENM65465:ENM65468 EXI65465:EXI65468 FHE65465:FHE65468 FRA65465:FRA65468 GAW65465:GAW65468 GKS65465:GKS65468 GUO65465:GUO65468 HEK65465:HEK65468 HOG65465:HOG65468 HYC65465:HYC65468 IHY65465:IHY65468 IRU65465:IRU65468 JBQ65465:JBQ65468 JLM65465:JLM65468 JVI65465:JVI65468 KFE65465:KFE65468 KPA65465:KPA65468 KYW65465:KYW65468 LIS65465:LIS65468 LSO65465:LSO65468 MCK65465:MCK65468 MMG65465:MMG65468 MWC65465:MWC65468 NFY65465:NFY65468 NPU65465:NPU65468 NZQ65465:NZQ65468 OJM65465:OJM65468 OTI65465:OTI65468 PDE65465:PDE65468 PNA65465:PNA65468 PWW65465:PWW65468 QGS65465:QGS65468 QQO65465:QQO65468 RAK65465:RAK65468 RKG65465:RKG65468 RUC65465:RUC65468 SDY65465:SDY65468 SNU65465:SNU65468 SXQ65465:SXQ65468 THM65465:THM65468 TRI65465:TRI65468 UBE65465:UBE65468 ULA65465:ULA65468 UUW65465:UUW65468 VES65465:VES65468 VOO65465:VOO65468 VYK65465:VYK65468 WIG65465:WIG65468 WSC65465:WSC65468 FQ131001:FQ131004 PM131001:PM131004 ZI131001:ZI131004 AJE131001:AJE131004 ATA131001:ATA131004 BCW131001:BCW131004 BMS131001:BMS131004 BWO131001:BWO131004 CGK131001:CGK131004 CQG131001:CQG131004 DAC131001:DAC131004 DJY131001:DJY131004 DTU131001:DTU131004 EDQ131001:EDQ131004 ENM131001:ENM131004 EXI131001:EXI131004 FHE131001:FHE131004 FRA131001:FRA131004 GAW131001:GAW131004 GKS131001:GKS131004 GUO131001:GUO131004 HEK131001:HEK131004 HOG131001:HOG131004 HYC131001:HYC131004 IHY131001:IHY131004 IRU131001:IRU131004 JBQ131001:JBQ131004 JLM131001:JLM131004 JVI131001:JVI131004 KFE131001:KFE131004 KPA131001:KPA131004 KYW131001:KYW131004 LIS131001:LIS131004 LSO131001:LSO131004 MCK131001:MCK131004 MMG131001:MMG131004 MWC131001:MWC131004 NFY131001:NFY131004 NPU131001:NPU131004 NZQ131001:NZQ131004 OJM131001:OJM131004 OTI131001:OTI131004 PDE131001:PDE131004 PNA131001:PNA131004 PWW131001:PWW131004 QGS131001:QGS131004 QQO131001:QQO131004 RAK131001:RAK131004 RKG131001:RKG131004 RUC131001:RUC131004 SDY131001:SDY131004 SNU131001:SNU131004 SXQ131001:SXQ131004 THM131001:THM131004 TRI131001:TRI131004 UBE131001:UBE131004 ULA131001:ULA131004 UUW131001:UUW131004 VES131001:VES131004 VOO131001:VOO131004 VYK131001:VYK131004 WIG131001:WIG131004 WSC131001:WSC131004 FQ196537:FQ196540 PM196537:PM196540 ZI196537:ZI196540 AJE196537:AJE196540 ATA196537:ATA196540 BCW196537:BCW196540 BMS196537:BMS196540 BWO196537:BWO196540 CGK196537:CGK196540 CQG196537:CQG196540 DAC196537:DAC196540 DJY196537:DJY196540 DTU196537:DTU196540 EDQ196537:EDQ196540 ENM196537:ENM196540 EXI196537:EXI196540 FHE196537:FHE196540 FRA196537:FRA196540 GAW196537:GAW196540 GKS196537:GKS196540 GUO196537:GUO196540 HEK196537:HEK196540 HOG196537:HOG196540 HYC196537:HYC196540 IHY196537:IHY196540 IRU196537:IRU196540 JBQ196537:JBQ196540 JLM196537:JLM196540 JVI196537:JVI196540 KFE196537:KFE196540 KPA196537:KPA196540 KYW196537:KYW196540 LIS196537:LIS196540 LSO196537:LSO196540 MCK196537:MCK196540 MMG196537:MMG196540 MWC196537:MWC196540 NFY196537:NFY196540 NPU196537:NPU196540 NZQ196537:NZQ196540 OJM196537:OJM196540 OTI196537:OTI196540 PDE196537:PDE196540 PNA196537:PNA196540 PWW196537:PWW196540 QGS196537:QGS196540 QQO196537:QQO196540 RAK196537:RAK196540 RKG196537:RKG196540 RUC196537:RUC196540 SDY196537:SDY196540 SNU196537:SNU196540 SXQ196537:SXQ196540 THM196537:THM196540 TRI196537:TRI196540 UBE196537:UBE196540 ULA196537:ULA196540 UUW196537:UUW196540 VES196537:VES196540 VOO196537:VOO196540 VYK196537:VYK196540 WIG196537:WIG196540 WSC196537:WSC196540 FQ262073:FQ262076 PM262073:PM262076 ZI262073:ZI262076 AJE262073:AJE262076 ATA262073:ATA262076 BCW262073:BCW262076 BMS262073:BMS262076 BWO262073:BWO262076 CGK262073:CGK262076 CQG262073:CQG262076 DAC262073:DAC262076 DJY262073:DJY262076 DTU262073:DTU262076 EDQ262073:EDQ262076 ENM262073:ENM262076 EXI262073:EXI262076 FHE262073:FHE262076 FRA262073:FRA262076 GAW262073:GAW262076 GKS262073:GKS262076 GUO262073:GUO262076 HEK262073:HEK262076 HOG262073:HOG262076 HYC262073:HYC262076 IHY262073:IHY262076 IRU262073:IRU262076 JBQ262073:JBQ262076 JLM262073:JLM262076 JVI262073:JVI262076 KFE262073:KFE262076 KPA262073:KPA262076 KYW262073:KYW262076 LIS262073:LIS262076 LSO262073:LSO262076 MCK262073:MCK262076 MMG262073:MMG262076 MWC262073:MWC262076 NFY262073:NFY262076 NPU262073:NPU262076 NZQ262073:NZQ262076 OJM262073:OJM262076 OTI262073:OTI262076 PDE262073:PDE262076 PNA262073:PNA262076 PWW262073:PWW262076 QGS262073:QGS262076 QQO262073:QQO262076 RAK262073:RAK262076 RKG262073:RKG262076 RUC262073:RUC262076 SDY262073:SDY262076 SNU262073:SNU262076 SXQ262073:SXQ262076 THM262073:THM262076 TRI262073:TRI262076 UBE262073:UBE262076 ULA262073:ULA262076 UUW262073:UUW262076 VES262073:VES262076 VOO262073:VOO262076 VYK262073:VYK262076 WIG262073:WIG262076 WSC262073:WSC262076 FQ327609:FQ327612 PM327609:PM327612 ZI327609:ZI327612 AJE327609:AJE327612 ATA327609:ATA327612 BCW327609:BCW327612 BMS327609:BMS327612 BWO327609:BWO327612 CGK327609:CGK327612 CQG327609:CQG327612 DAC327609:DAC327612 DJY327609:DJY327612 DTU327609:DTU327612 EDQ327609:EDQ327612 ENM327609:ENM327612 EXI327609:EXI327612 FHE327609:FHE327612 FRA327609:FRA327612 GAW327609:GAW327612 GKS327609:GKS327612 GUO327609:GUO327612 HEK327609:HEK327612 HOG327609:HOG327612 HYC327609:HYC327612 IHY327609:IHY327612 IRU327609:IRU327612 JBQ327609:JBQ327612 JLM327609:JLM327612 JVI327609:JVI327612 KFE327609:KFE327612 KPA327609:KPA327612 KYW327609:KYW327612 LIS327609:LIS327612 LSO327609:LSO327612 MCK327609:MCK327612 MMG327609:MMG327612 MWC327609:MWC327612 NFY327609:NFY327612 NPU327609:NPU327612 NZQ327609:NZQ327612 OJM327609:OJM327612 OTI327609:OTI327612 PDE327609:PDE327612 PNA327609:PNA327612 PWW327609:PWW327612 QGS327609:QGS327612 QQO327609:QQO327612 RAK327609:RAK327612 RKG327609:RKG327612 RUC327609:RUC327612 SDY327609:SDY327612 SNU327609:SNU327612 SXQ327609:SXQ327612 THM327609:THM327612 TRI327609:TRI327612 UBE327609:UBE327612 ULA327609:ULA327612 UUW327609:UUW327612 VES327609:VES327612 VOO327609:VOO327612 VYK327609:VYK327612 WIG327609:WIG327612 WSC327609:WSC327612 FQ393145:FQ393148 PM393145:PM393148 ZI393145:ZI393148 AJE393145:AJE393148 ATA393145:ATA393148 BCW393145:BCW393148 BMS393145:BMS393148 BWO393145:BWO393148 CGK393145:CGK393148 CQG393145:CQG393148 DAC393145:DAC393148 DJY393145:DJY393148 DTU393145:DTU393148 EDQ393145:EDQ393148 ENM393145:ENM393148 EXI393145:EXI393148 FHE393145:FHE393148 FRA393145:FRA393148 GAW393145:GAW393148 GKS393145:GKS393148 GUO393145:GUO393148 HEK393145:HEK393148 HOG393145:HOG393148 HYC393145:HYC393148 IHY393145:IHY393148 IRU393145:IRU393148 JBQ393145:JBQ393148 JLM393145:JLM393148 JVI393145:JVI393148 KFE393145:KFE393148 KPA393145:KPA393148 KYW393145:KYW393148 LIS393145:LIS393148 LSO393145:LSO393148 MCK393145:MCK393148 MMG393145:MMG393148 MWC393145:MWC393148 NFY393145:NFY393148 NPU393145:NPU393148 NZQ393145:NZQ393148 OJM393145:OJM393148 OTI393145:OTI393148 PDE393145:PDE393148 PNA393145:PNA393148 PWW393145:PWW393148 QGS393145:QGS393148 QQO393145:QQO393148 RAK393145:RAK393148 RKG393145:RKG393148 RUC393145:RUC393148 SDY393145:SDY393148 SNU393145:SNU393148 SXQ393145:SXQ393148 THM393145:THM393148 TRI393145:TRI393148 UBE393145:UBE393148 ULA393145:ULA393148 UUW393145:UUW393148 VES393145:VES393148 VOO393145:VOO393148 VYK393145:VYK393148 WIG393145:WIG393148 WSC393145:WSC393148 FQ458681:FQ458684 PM458681:PM458684 ZI458681:ZI458684 AJE458681:AJE458684 ATA458681:ATA458684 BCW458681:BCW458684 BMS458681:BMS458684 BWO458681:BWO458684 CGK458681:CGK458684 CQG458681:CQG458684 DAC458681:DAC458684 DJY458681:DJY458684 DTU458681:DTU458684 EDQ458681:EDQ458684 ENM458681:ENM458684 EXI458681:EXI458684 FHE458681:FHE458684 FRA458681:FRA458684 GAW458681:GAW458684 GKS458681:GKS458684 GUO458681:GUO458684 HEK458681:HEK458684 HOG458681:HOG458684 HYC458681:HYC458684 IHY458681:IHY458684 IRU458681:IRU458684 JBQ458681:JBQ458684 JLM458681:JLM458684 JVI458681:JVI458684 KFE458681:KFE458684 KPA458681:KPA458684 KYW458681:KYW458684 LIS458681:LIS458684 LSO458681:LSO458684 MCK458681:MCK458684 MMG458681:MMG458684 MWC458681:MWC458684 NFY458681:NFY458684 NPU458681:NPU458684 NZQ458681:NZQ458684 OJM458681:OJM458684 OTI458681:OTI458684 PDE458681:PDE458684 PNA458681:PNA458684 PWW458681:PWW458684 QGS458681:QGS458684 QQO458681:QQO458684 RAK458681:RAK458684 RKG458681:RKG458684 RUC458681:RUC458684 SDY458681:SDY458684 SNU458681:SNU458684 SXQ458681:SXQ458684 THM458681:THM458684 TRI458681:TRI458684 UBE458681:UBE458684 ULA458681:ULA458684 UUW458681:UUW458684 VES458681:VES458684 VOO458681:VOO458684 VYK458681:VYK458684 WIG458681:WIG458684 WSC458681:WSC458684 FQ524217:FQ524220 PM524217:PM524220 ZI524217:ZI524220 AJE524217:AJE524220 ATA524217:ATA524220 BCW524217:BCW524220 BMS524217:BMS524220 BWO524217:BWO524220 CGK524217:CGK524220 CQG524217:CQG524220 DAC524217:DAC524220 DJY524217:DJY524220 DTU524217:DTU524220 EDQ524217:EDQ524220 ENM524217:ENM524220 EXI524217:EXI524220 FHE524217:FHE524220 FRA524217:FRA524220 GAW524217:GAW524220 GKS524217:GKS524220 GUO524217:GUO524220 HEK524217:HEK524220 HOG524217:HOG524220 HYC524217:HYC524220 IHY524217:IHY524220 IRU524217:IRU524220 JBQ524217:JBQ524220 JLM524217:JLM524220 JVI524217:JVI524220 KFE524217:KFE524220 KPA524217:KPA524220 KYW524217:KYW524220 LIS524217:LIS524220 LSO524217:LSO524220 MCK524217:MCK524220 MMG524217:MMG524220 MWC524217:MWC524220 NFY524217:NFY524220 NPU524217:NPU524220 NZQ524217:NZQ524220 OJM524217:OJM524220 OTI524217:OTI524220 PDE524217:PDE524220 PNA524217:PNA524220 PWW524217:PWW524220 QGS524217:QGS524220 QQO524217:QQO524220 RAK524217:RAK524220 RKG524217:RKG524220 RUC524217:RUC524220 SDY524217:SDY524220 SNU524217:SNU524220 SXQ524217:SXQ524220 THM524217:THM524220 TRI524217:TRI524220 UBE524217:UBE524220 ULA524217:ULA524220 UUW524217:UUW524220 VES524217:VES524220 VOO524217:VOO524220 VYK524217:VYK524220 WIG524217:WIG524220 WSC524217:WSC524220 FQ589753:FQ589756 PM589753:PM589756 ZI589753:ZI589756 AJE589753:AJE589756 ATA589753:ATA589756 BCW589753:BCW589756 BMS589753:BMS589756 BWO589753:BWO589756 CGK589753:CGK589756 CQG589753:CQG589756 DAC589753:DAC589756 DJY589753:DJY589756 DTU589753:DTU589756 EDQ589753:EDQ589756 ENM589753:ENM589756 EXI589753:EXI589756 FHE589753:FHE589756 FRA589753:FRA589756 GAW589753:GAW589756 GKS589753:GKS589756 GUO589753:GUO589756 HEK589753:HEK589756 HOG589753:HOG589756 HYC589753:HYC589756 IHY589753:IHY589756 IRU589753:IRU589756 JBQ589753:JBQ589756 JLM589753:JLM589756 JVI589753:JVI589756 KFE589753:KFE589756 KPA589753:KPA589756 KYW589753:KYW589756 LIS589753:LIS589756 LSO589753:LSO589756 MCK589753:MCK589756 MMG589753:MMG589756 MWC589753:MWC589756 NFY589753:NFY589756 NPU589753:NPU589756 NZQ589753:NZQ589756 OJM589753:OJM589756 OTI589753:OTI589756 PDE589753:PDE589756 PNA589753:PNA589756 PWW589753:PWW589756 QGS589753:QGS589756 QQO589753:QQO589756 RAK589753:RAK589756 RKG589753:RKG589756 RUC589753:RUC589756 SDY589753:SDY589756 SNU589753:SNU589756 SXQ589753:SXQ589756 THM589753:THM589756 TRI589753:TRI589756 UBE589753:UBE589756 ULA589753:ULA589756 UUW589753:UUW589756 VES589753:VES589756 VOO589753:VOO589756 VYK589753:VYK589756 WIG589753:WIG589756 WSC589753:WSC589756 FQ655289:FQ655292 PM655289:PM655292 ZI655289:ZI655292 AJE655289:AJE655292 ATA655289:ATA655292 BCW655289:BCW655292 BMS655289:BMS655292 BWO655289:BWO655292 CGK655289:CGK655292 CQG655289:CQG655292 DAC655289:DAC655292 DJY655289:DJY655292 DTU655289:DTU655292 EDQ655289:EDQ655292 ENM655289:ENM655292 EXI655289:EXI655292 FHE655289:FHE655292 FRA655289:FRA655292 GAW655289:GAW655292 GKS655289:GKS655292 GUO655289:GUO655292 HEK655289:HEK655292 HOG655289:HOG655292 HYC655289:HYC655292 IHY655289:IHY655292 IRU655289:IRU655292 JBQ655289:JBQ655292 JLM655289:JLM655292 JVI655289:JVI655292 KFE655289:KFE655292 KPA655289:KPA655292 KYW655289:KYW655292 LIS655289:LIS655292 LSO655289:LSO655292 MCK655289:MCK655292 MMG655289:MMG655292 MWC655289:MWC655292 NFY655289:NFY655292 NPU655289:NPU655292 NZQ655289:NZQ655292 OJM655289:OJM655292 OTI655289:OTI655292 PDE655289:PDE655292 PNA655289:PNA655292 PWW655289:PWW655292 QGS655289:QGS655292 QQO655289:QQO655292 RAK655289:RAK655292 RKG655289:RKG655292 RUC655289:RUC655292 SDY655289:SDY655292 SNU655289:SNU655292 SXQ655289:SXQ655292 THM655289:THM655292 TRI655289:TRI655292 UBE655289:UBE655292 ULA655289:ULA655292 UUW655289:UUW655292 VES655289:VES655292 VOO655289:VOO655292 VYK655289:VYK655292 WIG655289:WIG655292 WSC655289:WSC655292 FQ720825:FQ720828 PM720825:PM720828 ZI720825:ZI720828 AJE720825:AJE720828 ATA720825:ATA720828 BCW720825:BCW720828 BMS720825:BMS720828 BWO720825:BWO720828 CGK720825:CGK720828 CQG720825:CQG720828 DAC720825:DAC720828 DJY720825:DJY720828 DTU720825:DTU720828 EDQ720825:EDQ720828 ENM720825:ENM720828 EXI720825:EXI720828 FHE720825:FHE720828 FRA720825:FRA720828 GAW720825:GAW720828 GKS720825:GKS720828 GUO720825:GUO720828 HEK720825:HEK720828 HOG720825:HOG720828 HYC720825:HYC720828 IHY720825:IHY720828 IRU720825:IRU720828 JBQ720825:JBQ720828 JLM720825:JLM720828 JVI720825:JVI720828 KFE720825:KFE720828 KPA720825:KPA720828 KYW720825:KYW720828 LIS720825:LIS720828 LSO720825:LSO720828 MCK720825:MCK720828 MMG720825:MMG720828 MWC720825:MWC720828 NFY720825:NFY720828 NPU720825:NPU720828 NZQ720825:NZQ720828 OJM720825:OJM720828 OTI720825:OTI720828 PDE720825:PDE720828 PNA720825:PNA720828 PWW720825:PWW720828 QGS720825:QGS720828 QQO720825:QQO720828 RAK720825:RAK720828 RKG720825:RKG720828 RUC720825:RUC720828 SDY720825:SDY720828 SNU720825:SNU720828 SXQ720825:SXQ720828 THM720825:THM720828 TRI720825:TRI720828 UBE720825:UBE720828 ULA720825:ULA720828 UUW720825:UUW720828 VES720825:VES720828 VOO720825:VOO720828 VYK720825:VYK720828 WIG720825:WIG720828 WSC720825:WSC720828 FQ786361:FQ786364 PM786361:PM786364 ZI786361:ZI786364 AJE786361:AJE786364 ATA786361:ATA786364 BCW786361:BCW786364 BMS786361:BMS786364 BWO786361:BWO786364 CGK786361:CGK786364 CQG786361:CQG786364 DAC786361:DAC786364 DJY786361:DJY786364 DTU786361:DTU786364 EDQ786361:EDQ786364 ENM786361:ENM786364 EXI786361:EXI786364 FHE786361:FHE786364 FRA786361:FRA786364 GAW786361:GAW786364 GKS786361:GKS786364 GUO786361:GUO786364 HEK786361:HEK786364 HOG786361:HOG786364 HYC786361:HYC786364 IHY786361:IHY786364 IRU786361:IRU786364 JBQ786361:JBQ786364 JLM786361:JLM786364 JVI786361:JVI786364 KFE786361:KFE786364 KPA786361:KPA786364 KYW786361:KYW786364 LIS786361:LIS786364 LSO786361:LSO786364 MCK786361:MCK786364 MMG786361:MMG786364 MWC786361:MWC786364 NFY786361:NFY786364 NPU786361:NPU786364 NZQ786361:NZQ786364 OJM786361:OJM786364 OTI786361:OTI786364 PDE786361:PDE786364 PNA786361:PNA786364 PWW786361:PWW786364 QGS786361:QGS786364 QQO786361:QQO786364 RAK786361:RAK786364 RKG786361:RKG786364 RUC786361:RUC786364 SDY786361:SDY786364 SNU786361:SNU786364 SXQ786361:SXQ786364 THM786361:THM786364 TRI786361:TRI786364 UBE786361:UBE786364 ULA786361:ULA786364 UUW786361:UUW786364 VES786361:VES786364 VOO786361:VOO786364 VYK786361:VYK786364 WIG786361:WIG786364 WSC786361:WSC786364 FQ851897:FQ851900 PM851897:PM851900 ZI851897:ZI851900 AJE851897:AJE851900 ATA851897:ATA851900 BCW851897:BCW851900 BMS851897:BMS851900 BWO851897:BWO851900 CGK851897:CGK851900 CQG851897:CQG851900 DAC851897:DAC851900 DJY851897:DJY851900 DTU851897:DTU851900 EDQ851897:EDQ851900 ENM851897:ENM851900 EXI851897:EXI851900 FHE851897:FHE851900 FRA851897:FRA851900 GAW851897:GAW851900 GKS851897:GKS851900 GUO851897:GUO851900 HEK851897:HEK851900 HOG851897:HOG851900 HYC851897:HYC851900 IHY851897:IHY851900 IRU851897:IRU851900 JBQ851897:JBQ851900 JLM851897:JLM851900 JVI851897:JVI851900 KFE851897:KFE851900 KPA851897:KPA851900 KYW851897:KYW851900 LIS851897:LIS851900 LSO851897:LSO851900 MCK851897:MCK851900 MMG851897:MMG851900 MWC851897:MWC851900 NFY851897:NFY851900 NPU851897:NPU851900 NZQ851897:NZQ851900 OJM851897:OJM851900 OTI851897:OTI851900 PDE851897:PDE851900 PNA851897:PNA851900 PWW851897:PWW851900 QGS851897:QGS851900 QQO851897:QQO851900 RAK851897:RAK851900 RKG851897:RKG851900 RUC851897:RUC851900 SDY851897:SDY851900 SNU851897:SNU851900 SXQ851897:SXQ851900 THM851897:THM851900 TRI851897:TRI851900 UBE851897:UBE851900 ULA851897:ULA851900 UUW851897:UUW851900 VES851897:VES851900 VOO851897:VOO851900 VYK851897:VYK851900 WIG851897:WIG851900 WSC851897:WSC851900 FQ917433:FQ917436 PM917433:PM917436 ZI917433:ZI917436 AJE917433:AJE917436 ATA917433:ATA917436 BCW917433:BCW917436 BMS917433:BMS917436 BWO917433:BWO917436 CGK917433:CGK917436 CQG917433:CQG917436 DAC917433:DAC917436 DJY917433:DJY917436 DTU917433:DTU917436 EDQ917433:EDQ917436 ENM917433:ENM917436 EXI917433:EXI917436 FHE917433:FHE917436 FRA917433:FRA917436 GAW917433:GAW917436 GKS917433:GKS917436 GUO917433:GUO917436 HEK917433:HEK917436 HOG917433:HOG917436 HYC917433:HYC917436 IHY917433:IHY917436 IRU917433:IRU917436 JBQ917433:JBQ917436 JLM917433:JLM917436 JVI917433:JVI917436 KFE917433:KFE917436 KPA917433:KPA917436 KYW917433:KYW917436 LIS917433:LIS917436 LSO917433:LSO917436 MCK917433:MCK917436 MMG917433:MMG917436 MWC917433:MWC917436 NFY917433:NFY917436 NPU917433:NPU917436 NZQ917433:NZQ917436 OJM917433:OJM917436 OTI917433:OTI917436 PDE917433:PDE917436 PNA917433:PNA917436 PWW917433:PWW917436 QGS917433:QGS917436 QQO917433:QQO917436 RAK917433:RAK917436 RKG917433:RKG917436 RUC917433:RUC917436 SDY917433:SDY917436 SNU917433:SNU917436 SXQ917433:SXQ917436 THM917433:THM917436 TRI917433:TRI917436 UBE917433:UBE917436 ULA917433:ULA917436 UUW917433:UUW917436 VES917433:VES917436 VOO917433:VOO917436 VYK917433:VYK917436 WIG917433:WIG917436 WSC917433:WSC917436 FQ982969:FQ982972 PM982969:PM982972 ZI982969:ZI982972 AJE982969:AJE982972 ATA982969:ATA982972 BCW982969:BCW982972 BMS982969:BMS982972 BWO982969:BWO982972 CGK982969:CGK982972 CQG982969:CQG982972 DAC982969:DAC982972 DJY982969:DJY982972 DTU982969:DTU982972 EDQ982969:EDQ982972 ENM982969:ENM982972 EXI982969:EXI982972 FHE982969:FHE982972 FRA982969:FRA982972 GAW982969:GAW982972 GKS982969:GKS982972 GUO982969:GUO982972 HEK982969:HEK982972 HOG982969:HOG982972 HYC982969:HYC982972 IHY982969:IHY982972 IRU982969:IRU982972 JBQ982969:JBQ982972 JLM982969:JLM982972 JVI982969:JVI982972 KFE982969:KFE982972 KPA982969:KPA982972 KYW982969:KYW982972 LIS982969:LIS982972 LSO982969:LSO982972 MCK982969:MCK982972 MMG982969:MMG982972 MWC982969:MWC982972 NFY982969:NFY982972 NPU982969:NPU982972 NZQ982969:NZQ982972 OJM982969:OJM982972 OTI982969:OTI982972 PDE982969:PDE982972 PNA982969:PNA982972 PWW982969:PWW982972 QGS982969:QGS982972 QQO982969:QQO982972 RAK982969:RAK982972 RKG982969:RKG982972 RUC982969:RUC982972 SDY982969:SDY982972 SNU982969:SNU982972 SXQ982969:SXQ982972 THM982969:THM982972 TRI982969:TRI982972 UBE982969:UBE982972 ULA982969:ULA982972 UUW982969:UUW982972 VES982969:VES982972 VOO982969:VOO982972 VYK982969:VYK982972 WIG982969:WIG982972 WSC982969:WSC982972 FQ65456:FQ65457 PM65456:PM65457 ZI65456:ZI65457 AJE65456:AJE65457 ATA65456:ATA65457 BCW65456:BCW65457 BMS65456:BMS65457 BWO65456:BWO65457 CGK65456:CGK65457 CQG65456:CQG65457 DAC65456:DAC65457 DJY65456:DJY65457 DTU65456:DTU65457 EDQ65456:EDQ65457 ENM65456:ENM65457 EXI65456:EXI65457 FHE65456:FHE65457 FRA65456:FRA65457 GAW65456:GAW65457 GKS65456:GKS65457 GUO65456:GUO65457 HEK65456:HEK65457 HOG65456:HOG65457 HYC65456:HYC65457 IHY65456:IHY65457 IRU65456:IRU65457 JBQ65456:JBQ65457 JLM65456:JLM65457 JVI65456:JVI65457 KFE65456:KFE65457 KPA65456:KPA65457 KYW65456:KYW65457 LIS65456:LIS65457 LSO65456:LSO65457 MCK65456:MCK65457 MMG65456:MMG65457 MWC65456:MWC65457 NFY65456:NFY65457 NPU65456:NPU65457 NZQ65456:NZQ65457 OJM65456:OJM65457 OTI65456:OTI65457 PDE65456:PDE65457 PNA65456:PNA65457 PWW65456:PWW65457 QGS65456:QGS65457 QQO65456:QQO65457 RAK65456:RAK65457 RKG65456:RKG65457 RUC65456:RUC65457 SDY65456:SDY65457 SNU65456:SNU65457 SXQ65456:SXQ65457 THM65456:THM65457 TRI65456:TRI65457 UBE65456:UBE65457 ULA65456:ULA65457 UUW65456:UUW65457 VES65456:VES65457 VOO65456:VOO65457 VYK65456:VYK65457 WIG65456:WIG65457 WSC65456:WSC65457 FQ130992:FQ130993 PM130992:PM130993 ZI130992:ZI130993 AJE130992:AJE130993 ATA130992:ATA130993 BCW130992:BCW130993 BMS130992:BMS130993 BWO130992:BWO130993 CGK130992:CGK130993 CQG130992:CQG130993 DAC130992:DAC130993 DJY130992:DJY130993 DTU130992:DTU130993 EDQ130992:EDQ130993 ENM130992:ENM130993 EXI130992:EXI130993 FHE130992:FHE130993 FRA130992:FRA130993 GAW130992:GAW130993 GKS130992:GKS130993 GUO130992:GUO130993 HEK130992:HEK130993 HOG130992:HOG130993 HYC130992:HYC130993 IHY130992:IHY130993 IRU130992:IRU130993 JBQ130992:JBQ130993 JLM130992:JLM130993 JVI130992:JVI130993 KFE130992:KFE130993 KPA130992:KPA130993 KYW130992:KYW130993 LIS130992:LIS130993 LSO130992:LSO130993 MCK130992:MCK130993 MMG130992:MMG130993 MWC130992:MWC130993 NFY130992:NFY130993 NPU130992:NPU130993 NZQ130992:NZQ130993 OJM130992:OJM130993 OTI130992:OTI130993 PDE130992:PDE130993 PNA130992:PNA130993 PWW130992:PWW130993 QGS130992:QGS130993 QQO130992:QQO130993 RAK130992:RAK130993 RKG130992:RKG130993 RUC130992:RUC130993 SDY130992:SDY130993 SNU130992:SNU130993 SXQ130992:SXQ130993 THM130992:THM130993 TRI130992:TRI130993 UBE130992:UBE130993 ULA130992:ULA130993 UUW130992:UUW130993 VES130992:VES130993 VOO130992:VOO130993 VYK130992:VYK130993 WIG130992:WIG130993 WSC130992:WSC130993 FQ196528:FQ196529 PM196528:PM196529 ZI196528:ZI196529 AJE196528:AJE196529 ATA196528:ATA196529 BCW196528:BCW196529 BMS196528:BMS196529 BWO196528:BWO196529 CGK196528:CGK196529 CQG196528:CQG196529 DAC196528:DAC196529 DJY196528:DJY196529 DTU196528:DTU196529 EDQ196528:EDQ196529 ENM196528:ENM196529 EXI196528:EXI196529 FHE196528:FHE196529 FRA196528:FRA196529 GAW196528:GAW196529 GKS196528:GKS196529 GUO196528:GUO196529 HEK196528:HEK196529 HOG196528:HOG196529 HYC196528:HYC196529 IHY196528:IHY196529 IRU196528:IRU196529 JBQ196528:JBQ196529 JLM196528:JLM196529 JVI196528:JVI196529 KFE196528:KFE196529 KPA196528:KPA196529 KYW196528:KYW196529 LIS196528:LIS196529 LSO196528:LSO196529 MCK196528:MCK196529 MMG196528:MMG196529 MWC196528:MWC196529 NFY196528:NFY196529 NPU196528:NPU196529 NZQ196528:NZQ196529 OJM196528:OJM196529 OTI196528:OTI196529 PDE196528:PDE196529 PNA196528:PNA196529 PWW196528:PWW196529 QGS196528:QGS196529 QQO196528:QQO196529 RAK196528:RAK196529 RKG196528:RKG196529 RUC196528:RUC196529 SDY196528:SDY196529 SNU196528:SNU196529 SXQ196528:SXQ196529 THM196528:THM196529 TRI196528:TRI196529 UBE196528:UBE196529 ULA196528:ULA196529 UUW196528:UUW196529 VES196528:VES196529 VOO196528:VOO196529 VYK196528:VYK196529 WIG196528:WIG196529 WSC196528:WSC196529 FQ262064:FQ262065 PM262064:PM262065 ZI262064:ZI262065 AJE262064:AJE262065 ATA262064:ATA262065 BCW262064:BCW262065 BMS262064:BMS262065 BWO262064:BWO262065 CGK262064:CGK262065 CQG262064:CQG262065 DAC262064:DAC262065 DJY262064:DJY262065 DTU262064:DTU262065 EDQ262064:EDQ262065 ENM262064:ENM262065 EXI262064:EXI262065 FHE262064:FHE262065 FRA262064:FRA262065 GAW262064:GAW262065 GKS262064:GKS262065 GUO262064:GUO262065 HEK262064:HEK262065 HOG262064:HOG262065 HYC262064:HYC262065 IHY262064:IHY262065 IRU262064:IRU262065 JBQ262064:JBQ262065 JLM262064:JLM262065 JVI262064:JVI262065 KFE262064:KFE262065 KPA262064:KPA262065 KYW262064:KYW262065 LIS262064:LIS262065 LSO262064:LSO262065 MCK262064:MCK262065 MMG262064:MMG262065 MWC262064:MWC262065 NFY262064:NFY262065 NPU262064:NPU262065 NZQ262064:NZQ262065 OJM262064:OJM262065 OTI262064:OTI262065 PDE262064:PDE262065 PNA262064:PNA262065 PWW262064:PWW262065 QGS262064:QGS262065 QQO262064:QQO262065 RAK262064:RAK262065 RKG262064:RKG262065 RUC262064:RUC262065 SDY262064:SDY262065 SNU262064:SNU262065 SXQ262064:SXQ262065 THM262064:THM262065 TRI262064:TRI262065 UBE262064:UBE262065 ULA262064:ULA262065 UUW262064:UUW262065 VES262064:VES262065 VOO262064:VOO262065 VYK262064:VYK262065 WIG262064:WIG262065 WSC262064:WSC262065 FQ327600:FQ327601 PM327600:PM327601 ZI327600:ZI327601 AJE327600:AJE327601 ATA327600:ATA327601 BCW327600:BCW327601 BMS327600:BMS327601 BWO327600:BWO327601 CGK327600:CGK327601 CQG327600:CQG327601 DAC327600:DAC327601 DJY327600:DJY327601 DTU327600:DTU327601 EDQ327600:EDQ327601 ENM327600:ENM327601 EXI327600:EXI327601 FHE327600:FHE327601 FRA327600:FRA327601 GAW327600:GAW327601 GKS327600:GKS327601 GUO327600:GUO327601 HEK327600:HEK327601 HOG327600:HOG327601 HYC327600:HYC327601 IHY327600:IHY327601 IRU327600:IRU327601 JBQ327600:JBQ327601 JLM327600:JLM327601 JVI327600:JVI327601 KFE327600:KFE327601 KPA327600:KPA327601 KYW327600:KYW327601 LIS327600:LIS327601 LSO327600:LSO327601 MCK327600:MCK327601 MMG327600:MMG327601 MWC327600:MWC327601 NFY327600:NFY327601 NPU327600:NPU327601 NZQ327600:NZQ327601 OJM327600:OJM327601 OTI327600:OTI327601 PDE327600:PDE327601 PNA327600:PNA327601 PWW327600:PWW327601 QGS327600:QGS327601 QQO327600:QQO327601 RAK327600:RAK327601 RKG327600:RKG327601 RUC327600:RUC327601 SDY327600:SDY327601 SNU327600:SNU327601 SXQ327600:SXQ327601 THM327600:THM327601 TRI327600:TRI327601 UBE327600:UBE327601 ULA327600:ULA327601 UUW327600:UUW327601 VES327600:VES327601 VOO327600:VOO327601 VYK327600:VYK327601 WIG327600:WIG327601 WSC327600:WSC327601 FQ393136:FQ393137 PM393136:PM393137 ZI393136:ZI393137 AJE393136:AJE393137 ATA393136:ATA393137 BCW393136:BCW393137 BMS393136:BMS393137 BWO393136:BWO393137 CGK393136:CGK393137 CQG393136:CQG393137 DAC393136:DAC393137 DJY393136:DJY393137 DTU393136:DTU393137 EDQ393136:EDQ393137 ENM393136:ENM393137 EXI393136:EXI393137 FHE393136:FHE393137 FRA393136:FRA393137 GAW393136:GAW393137 GKS393136:GKS393137 GUO393136:GUO393137 HEK393136:HEK393137 HOG393136:HOG393137 HYC393136:HYC393137 IHY393136:IHY393137 IRU393136:IRU393137 JBQ393136:JBQ393137 JLM393136:JLM393137 JVI393136:JVI393137 KFE393136:KFE393137 KPA393136:KPA393137 KYW393136:KYW393137 LIS393136:LIS393137 LSO393136:LSO393137 MCK393136:MCK393137 MMG393136:MMG393137 MWC393136:MWC393137 NFY393136:NFY393137 NPU393136:NPU393137 NZQ393136:NZQ393137 OJM393136:OJM393137 OTI393136:OTI393137 PDE393136:PDE393137 PNA393136:PNA393137 PWW393136:PWW393137 QGS393136:QGS393137 QQO393136:QQO393137 RAK393136:RAK393137 RKG393136:RKG393137 RUC393136:RUC393137 SDY393136:SDY393137 SNU393136:SNU393137 SXQ393136:SXQ393137 THM393136:THM393137 TRI393136:TRI393137 UBE393136:UBE393137 ULA393136:ULA393137 UUW393136:UUW393137 VES393136:VES393137 VOO393136:VOO393137 VYK393136:VYK393137 WIG393136:WIG393137 WSC393136:WSC393137 FQ458672:FQ458673 PM458672:PM458673 ZI458672:ZI458673 AJE458672:AJE458673 ATA458672:ATA458673 BCW458672:BCW458673 BMS458672:BMS458673 BWO458672:BWO458673 CGK458672:CGK458673 CQG458672:CQG458673 DAC458672:DAC458673 DJY458672:DJY458673 DTU458672:DTU458673 EDQ458672:EDQ458673 ENM458672:ENM458673 EXI458672:EXI458673 FHE458672:FHE458673 FRA458672:FRA458673 GAW458672:GAW458673 GKS458672:GKS458673 GUO458672:GUO458673 HEK458672:HEK458673 HOG458672:HOG458673 HYC458672:HYC458673 IHY458672:IHY458673 IRU458672:IRU458673 JBQ458672:JBQ458673 JLM458672:JLM458673 JVI458672:JVI458673 KFE458672:KFE458673 KPA458672:KPA458673 KYW458672:KYW458673 LIS458672:LIS458673 LSO458672:LSO458673 MCK458672:MCK458673 MMG458672:MMG458673 MWC458672:MWC458673 NFY458672:NFY458673 NPU458672:NPU458673 NZQ458672:NZQ458673 OJM458672:OJM458673 OTI458672:OTI458673 PDE458672:PDE458673 PNA458672:PNA458673 PWW458672:PWW458673 QGS458672:QGS458673 QQO458672:QQO458673 RAK458672:RAK458673 RKG458672:RKG458673 RUC458672:RUC458673 SDY458672:SDY458673 SNU458672:SNU458673 SXQ458672:SXQ458673 THM458672:THM458673 TRI458672:TRI458673 UBE458672:UBE458673 ULA458672:ULA458673 UUW458672:UUW458673 VES458672:VES458673 VOO458672:VOO458673 VYK458672:VYK458673 WIG458672:WIG458673 WSC458672:WSC458673 FQ524208:FQ524209 PM524208:PM524209 ZI524208:ZI524209 AJE524208:AJE524209 ATA524208:ATA524209 BCW524208:BCW524209 BMS524208:BMS524209 BWO524208:BWO524209 CGK524208:CGK524209 CQG524208:CQG524209 DAC524208:DAC524209 DJY524208:DJY524209 DTU524208:DTU524209 EDQ524208:EDQ524209 ENM524208:ENM524209 EXI524208:EXI524209 FHE524208:FHE524209 FRA524208:FRA524209 GAW524208:GAW524209 GKS524208:GKS524209 GUO524208:GUO524209 HEK524208:HEK524209 HOG524208:HOG524209 HYC524208:HYC524209 IHY524208:IHY524209 IRU524208:IRU524209 JBQ524208:JBQ524209 JLM524208:JLM524209 JVI524208:JVI524209 KFE524208:KFE524209 KPA524208:KPA524209 KYW524208:KYW524209 LIS524208:LIS524209 LSO524208:LSO524209 MCK524208:MCK524209 MMG524208:MMG524209 MWC524208:MWC524209 NFY524208:NFY524209 NPU524208:NPU524209 NZQ524208:NZQ524209 OJM524208:OJM524209 OTI524208:OTI524209 PDE524208:PDE524209 PNA524208:PNA524209 PWW524208:PWW524209 QGS524208:QGS524209 QQO524208:QQO524209 RAK524208:RAK524209 RKG524208:RKG524209 RUC524208:RUC524209 SDY524208:SDY524209 SNU524208:SNU524209 SXQ524208:SXQ524209 THM524208:THM524209 TRI524208:TRI524209 UBE524208:UBE524209 ULA524208:ULA524209 UUW524208:UUW524209 VES524208:VES524209 VOO524208:VOO524209 VYK524208:VYK524209 WIG524208:WIG524209 WSC524208:WSC524209 FQ589744:FQ589745 PM589744:PM589745 ZI589744:ZI589745 AJE589744:AJE589745 ATA589744:ATA589745 BCW589744:BCW589745 BMS589744:BMS589745 BWO589744:BWO589745 CGK589744:CGK589745 CQG589744:CQG589745 DAC589744:DAC589745 DJY589744:DJY589745 DTU589744:DTU589745 EDQ589744:EDQ589745 ENM589744:ENM589745 EXI589744:EXI589745 FHE589744:FHE589745 FRA589744:FRA589745 GAW589744:GAW589745 GKS589744:GKS589745 GUO589744:GUO589745 HEK589744:HEK589745 HOG589744:HOG589745 HYC589744:HYC589745 IHY589744:IHY589745 IRU589744:IRU589745 JBQ589744:JBQ589745 JLM589744:JLM589745 JVI589744:JVI589745 KFE589744:KFE589745 KPA589744:KPA589745 KYW589744:KYW589745 LIS589744:LIS589745 LSO589744:LSO589745 MCK589744:MCK589745 MMG589744:MMG589745 MWC589744:MWC589745 NFY589744:NFY589745 NPU589744:NPU589745 NZQ589744:NZQ589745 OJM589744:OJM589745 OTI589744:OTI589745 PDE589744:PDE589745 PNA589744:PNA589745 PWW589744:PWW589745 QGS589744:QGS589745 QQO589744:QQO589745 RAK589744:RAK589745 RKG589744:RKG589745 RUC589744:RUC589745 SDY589744:SDY589745 SNU589744:SNU589745 SXQ589744:SXQ589745 THM589744:THM589745 TRI589744:TRI589745 UBE589744:UBE589745 ULA589744:ULA589745 UUW589744:UUW589745 VES589744:VES589745 VOO589744:VOO589745 VYK589744:VYK589745 WIG589744:WIG589745 WSC589744:WSC589745 FQ655280:FQ655281 PM655280:PM655281 ZI655280:ZI655281 AJE655280:AJE655281 ATA655280:ATA655281 BCW655280:BCW655281 BMS655280:BMS655281 BWO655280:BWO655281 CGK655280:CGK655281 CQG655280:CQG655281 DAC655280:DAC655281 DJY655280:DJY655281 DTU655280:DTU655281 EDQ655280:EDQ655281 ENM655280:ENM655281 EXI655280:EXI655281 FHE655280:FHE655281 FRA655280:FRA655281 GAW655280:GAW655281 GKS655280:GKS655281 GUO655280:GUO655281 HEK655280:HEK655281 HOG655280:HOG655281 HYC655280:HYC655281 IHY655280:IHY655281 IRU655280:IRU655281 JBQ655280:JBQ655281 JLM655280:JLM655281 JVI655280:JVI655281 KFE655280:KFE655281 KPA655280:KPA655281 KYW655280:KYW655281 LIS655280:LIS655281 LSO655280:LSO655281 MCK655280:MCK655281 MMG655280:MMG655281 MWC655280:MWC655281 NFY655280:NFY655281 NPU655280:NPU655281 NZQ655280:NZQ655281 OJM655280:OJM655281 OTI655280:OTI655281 PDE655280:PDE655281 PNA655280:PNA655281 PWW655280:PWW655281 QGS655280:QGS655281 QQO655280:QQO655281 RAK655280:RAK655281 RKG655280:RKG655281 RUC655280:RUC655281 SDY655280:SDY655281 SNU655280:SNU655281 SXQ655280:SXQ655281 THM655280:THM655281 TRI655280:TRI655281 UBE655280:UBE655281 ULA655280:ULA655281 UUW655280:UUW655281 VES655280:VES655281 VOO655280:VOO655281 VYK655280:VYK655281 WIG655280:WIG655281 WSC655280:WSC655281 FQ720816:FQ720817 PM720816:PM720817 ZI720816:ZI720817 AJE720816:AJE720817 ATA720816:ATA720817 BCW720816:BCW720817 BMS720816:BMS720817 BWO720816:BWO720817 CGK720816:CGK720817 CQG720816:CQG720817 DAC720816:DAC720817 DJY720816:DJY720817 DTU720816:DTU720817 EDQ720816:EDQ720817 ENM720816:ENM720817 EXI720816:EXI720817 FHE720816:FHE720817 FRA720816:FRA720817 GAW720816:GAW720817 GKS720816:GKS720817 GUO720816:GUO720817 HEK720816:HEK720817 HOG720816:HOG720817 HYC720816:HYC720817 IHY720816:IHY720817 IRU720816:IRU720817 JBQ720816:JBQ720817 JLM720816:JLM720817 JVI720816:JVI720817 KFE720816:KFE720817 KPA720816:KPA720817 KYW720816:KYW720817 LIS720816:LIS720817 LSO720816:LSO720817 MCK720816:MCK720817 MMG720816:MMG720817 MWC720816:MWC720817 NFY720816:NFY720817 NPU720816:NPU720817 NZQ720816:NZQ720817 OJM720816:OJM720817 OTI720816:OTI720817 PDE720816:PDE720817 PNA720816:PNA720817 PWW720816:PWW720817 QGS720816:QGS720817 QQO720816:QQO720817 RAK720816:RAK720817 RKG720816:RKG720817 RUC720816:RUC720817 SDY720816:SDY720817 SNU720816:SNU720817 SXQ720816:SXQ720817 THM720816:THM720817 TRI720816:TRI720817 UBE720816:UBE720817 ULA720816:ULA720817 UUW720816:UUW720817 VES720816:VES720817 VOO720816:VOO720817 VYK720816:VYK720817 WIG720816:WIG720817 WSC720816:WSC720817 FQ786352:FQ786353 PM786352:PM786353 ZI786352:ZI786353 AJE786352:AJE786353 ATA786352:ATA786353 BCW786352:BCW786353 BMS786352:BMS786353 BWO786352:BWO786353 CGK786352:CGK786353 CQG786352:CQG786353 DAC786352:DAC786353 DJY786352:DJY786353 DTU786352:DTU786353 EDQ786352:EDQ786353 ENM786352:ENM786353 EXI786352:EXI786353 FHE786352:FHE786353 FRA786352:FRA786353 GAW786352:GAW786353 GKS786352:GKS786353 GUO786352:GUO786353 HEK786352:HEK786353 HOG786352:HOG786353 HYC786352:HYC786353 IHY786352:IHY786353 IRU786352:IRU786353 JBQ786352:JBQ786353 JLM786352:JLM786353 JVI786352:JVI786353 KFE786352:KFE786353 KPA786352:KPA786353 KYW786352:KYW786353 LIS786352:LIS786353 LSO786352:LSO786353 MCK786352:MCK786353 MMG786352:MMG786353 MWC786352:MWC786353 NFY786352:NFY786353 NPU786352:NPU786353 NZQ786352:NZQ786353 OJM786352:OJM786353 OTI786352:OTI786353 PDE786352:PDE786353 PNA786352:PNA786353 PWW786352:PWW786353 QGS786352:QGS786353 QQO786352:QQO786353 RAK786352:RAK786353 RKG786352:RKG786353 RUC786352:RUC786353 SDY786352:SDY786353 SNU786352:SNU786353 SXQ786352:SXQ786353 THM786352:THM786353 TRI786352:TRI786353 UBE786352:UBE786353 ULA786352:ULA786353 UUW786352:UUW786353 VES786352:VES786353 VOO786352:VOO786353 VYK786352:VYK786353 WIG786352:WIG786353 WSC786352:WSC786353 FQ851888:FQ851889 PM851888:PM851889 ZI851888:ZI851889 AJE851888:AJE851889 ATA851888:ATA851889 BCW851888:BCW851889 BMS851888:BMS851889 BWO851888:BWO851889 CGK851888:CGK851889 CQG851888:CQG851889 DAC851888:DAC851889 DJY851888:DJY851889 DTU851888:DTU851889 EDQ851888:EDQ851889 ENM851888:ENM851889 EXI851888:EXI851889 FHE851888:FHE851889 FRA851888:FRA851889 GAW851888:GAW851889 GKS851888:GKS851889 GUO851888:GUO851889 HEK851888:HEK851889 HOG851888:HOG851889 HYC851888:HYC851889 IHY851888:IHY851889 IRU851888:IRU851889 JBQ851888:JBQ851889 JLM851888:JLM851889 JVI851888:JVI851889 KFE851888:KFE851889 KPA851888:KPA851889 KYW851888:KYW851889 LIS851888:LIS851889 LSO851888:LSO851889 MCK851888:MCK851889 MMG851888:MMG851889 MWC851888:MWC851889 NFY851888:NFY851889 NPU851888:NPU851889 NZQ851888:NZQ851889 OJM851888:OJM851889 OTI851888:OTI851889 PDE851888:PDE851889 PNA851888:PNA851889 PWW851888:PWW851889 QGS851888:QGS851889 QQO851888:QQO851889 RAK851888:RAK851889 RKG851888:RKG851889 RUC851888:RUC851889 SDY851888:SDY851889 SNU851888:SNU851889 SXQ851888:SXQ851889 THM851888:THM851889 TRI851888:TRI851889 UBE851888:UBE851889 ULA851888:ULA851889 UUW851888:UUW851889 VES851888:VES851889 VOO851888:VOO851889 VYK851888:VYK851889 WIG851888:WIG851889 WSC851888:WSC851889 FQ917424:FQ917425 PM917424:PM917425 ZI917424:ZI917425 AJE917424:AJE917425 ATA917424:ATA917425 BCW917424:BCW917425 BMS917424:BMS917425 BWO917424:BWO917425 CGK917424:CGK917425 CQG917424:CQG917425 DAC917424:DAC917425 DJY917424:DJY917425 DTU917424:DTU917425 EDQ917424:EDQ917425 ENM917424:ENM917425 EXI917424:EXI917425 FHE917424:FHE917425 FRA917424:FRA917425 GAW917424:GAW917425 GKS917424:GKS917425 GUO917424:GUO917425 HEK917424:HEK917425 HOG917424:HOG917425 HYC917424:HYC917425 IHY917424:IHY917425 IRU917424:IRU917425 JBQ917424:JBQ917425 JLM917424:JLM917425 JVI917424:JVI917425 KFE917424:KFE917425 KPA917424:KPA917425 KYW917424:KYW917425 LIS917424:LIS917425 LSO917424:LSO917425 MCK917424:MCK917425 MMG917424:MMG917425 MWC917424:MWC917425 NFY917424:NFY917425 NPU917424:NPU917425 NZQ917424:NZQ917425 OJM917424:OJM917425 OTI917424:OTI917425 PDE917424:PDE917425 PNA917424:PNA917425 PWW917424:PWW917425 QGS917424:QGS917425 QQO917424:QQO917425 RAK917424:RAK917425 RKG917424:RKG917425 RUC917424:RUC917425 SDY917424:SDY917425 SNU917424:SNU917425 SXQ917424:SXQ917425 THM917424:THM917425 TRI917424:TRI917425 UBE917424:UBE917425 ULA917424:ULA917425 UUW917424:UUW917425 VES917424:VES917425 VOO917424:VOO917425 VYK917424:VYK917425 WIG917424:WIG917425 WSC917424:WSC917425 FQ982960:FQ982961 PM982960:PM982961 ZI982960:ZI982961 AJE982960:AJE982961 ATA982960:ATA982961 BCW982960:BCW982961 BMS982960:BMS982961 BWO982960:BWO982961 CGK982960:CGK982961 CQG982960:CQG982961 DAC982960:DAC982961 DJY982960:DJY982961 DTU982960:DTU982961 EDQ982960:EDQ982961 ENM982960:ENM982961 EXI982960:EXI982961 FHE982960:FHE982961 FRA982960:FRA982961 GAW982960:GAW982961 GKS982960:GKS982961 GUO982960:GUO982961 HEK982960:HEK982961 HOG982960:HOG982961 HYC982960:HYC982961 IHY982960:IHY982961 IRU982960:IRU982961 JBQ982960:JBQ982961 JLM982960:JLM982961 JVI982960:JVI982961 KFE982960:KFE982961 KPA982960:KPA982961 KYW982960:KYW982961 LIS982960:LIS982961 LSO982960:LSO982961 MCK982960:MCK982961 MMG982960:MMG982961 MWC982960:MWC982961 NFY982960:NFY982961 NPU982960:NPU982961 NZQ982960:NZQ982961 OJM982960:OJM982961 OTI982960:OTI982961 PDE982960:PDE982961 PNA982960:PNA982961 PWW982960:PWW982961 QGS982960:QGS982961 QQO982960:QQO982961 RAK982960:RAK982961 RKG982960:RKG982961 RUC982960:RUC982961 SDY982960:SDY982961 SNU982960:SNU982961 SXQ982960:SXQ982961 THM982960:THM982961 TRI982960:TRI982961 UBE982960:UBE982961 ULA982960:ULA982961 UUW982960:UUW982961 VES982960:VES982961 VOO982960:VOO982961 VYK982960:VYK982961 WIG982960:WIG982961 WSC982960:WSC982961 FQ65470:FQ65473 PM65470:PM65473 ZI65470:ZI65473 AJE65470:AJE65473 ATA65470:ATA65473 BCW65470:BCW65473 BMS65470:BMS65473 BWO65470:BWO65473 CGK65470:CGK65473 CQG65470:CQG65473 DAC65470:DAC65473 DJY65470:DJY65473 DTU65470:DTU65473 EDQ65470:EDQ65473 ENM65470:ENM65473 EXI65470:EXI65473 FHE65470:FHE65473 FRA65470:FRA65473 GAW65470:GAW65473 GKS65470:GKS65473 GUO65470:GUO65473 HEK65470:HEK65473 HOG65470:HOG65473 HYC65470:HYC65473 IHY65470:IHY65473 IRU65470:IRU65473 JBQ65470:JBQ65473 JLM65470:JLM65473 JVI65470:JVI65473 KFE65470:KFE65473 KPA65470:KPA65473 KYW65470:KYW65473 LIS65470:LIS65473 LSO65470:LSO65473 MCK65470:MCK65473 MMG65470:MMG65473 MWC65470:MWC65473 NFY65470:NFY65473 NPU65470:NPU65473 NZQ65470:NZQ65473 OJM65470:OJM65473 OTI65470:OTI65473 PDE65470:PDE65473 PNA65470:PNA65473 PWW65470:PWW65473 QGS65470:QGS65473 QQO65470:QQO65473 RAK65470:RAK65473 RKG65470:RKG65473 RUC65470:RUC65473 SDY65470:SDY65473 SNU65470:SNU65473 SXQ65470:SXQ65473 THM65470:THM65473 TRI65470:TRI65473 UBE65470:UBE65473 ULA65470:ULA65473 UUW65470:UUW65473 VES65470:VES65473 VOO65470:VOO65473 VYK65470:VYK65473 WIG65470:WIG65473 WSC65470:WSC65473 FQ131006:FQ131009 PM131006:PM131009 ZI131006:ZI131009 AJE131006:AJE131009 ATA131006:ATA131009 BCW131006:BCW131009 BMS131006:BMS131009 BWO131006:BWO131009 CGK131006:CGK131009 CQG131006:CQG131009 DAC131006:DAC131009 DJY131006:DJY131009 DTU131006:DTU131009 EDQ131006:EDQ131009 ENM131006:ENM131009 EXI131006:EXI131009 FHE131006:FHE131009 FRA131006:FRA131009 GAW131006:GAW131009 GKS131006:GKS131009 GUO131006:GUO131009 HEK131006:HEK131009 HOG131006:HOG131009 HYC131006:HYC131009 IHY131006:IHY131009 IRU131006:IRU131009 JBQ131006:JBQ131009 JLM131006:JLM131009 JVI131006:JVI131009 KFE131006:KFE131009 KPA131006:KPA131009 KYW131006:KYW131009 LIS131006:LIS131009 LSO131006:LSO131009 MCK131006:MCK131009 MMG131006:MMG131009 MWC131006:MWC131009 NFY131006:NFY131009 NPU131006:NPU131009 NZQ131006:NZQ131009 OJM131006:OJM131009 OTI131006:OTI131009 PDE131006:PDE131009 PNA131006:PNA131009 PWW131006:PWW131009 QGS131006:QGS131009 QQO131006:QQO131009 RAK131006:RAK131009 RKG131006:RKG131009 RUC131006:RUC131009 SDY131006:SDY131009 SNU131006:SNU131009 SXQ131006:SXQ131009 THM131006:THM131009 TRI131006:TRI131009 UBE131006:UBE131009 ULA131006:ULA131009 UUW131006:UUW131009 VES131006:VES131009 VOO131006:VOO131009 VYK131006:VYK131009 WIG131006:WIG131009 WSC131006:WSC131009 FQ196542:FQ196545 PM196542:PM196545 ZI196542:ZI196545 AJE196542:AJE196545 ATA196542:ATA196545 BCW196542:BCW196545 BMS196542:BMS196545 BWO196542:BWO196545 CGK196542:CGK196545 CQG196542:CQG196545 DAC196542:DAC196545 DJY196542:DJY196545 DTU196542:DTU196545 EDQ196542:EDQ196545 ENM196542:ENM196545 EXI196542:EXI196545 FHE196542:FHE196545 FRA196542:FRA196545 GAW196542:GAW196545 GKS196542:GKS196545 GUO196542:GUO196545 HEK196542:HEK196545 HOG196542:HOG196545 HYC196542:HYC196545 IHY196542:IHY196545 IRU196542:IRU196545 JBQ196542:JBQ196545 JLM196542:JLM196545 JVI196542:JVI196545 KFE196542:KFE196545 KPA196542:KPA196545 KYW196542:KYW196545 LIS196542:LIS196545 LSO196542:LSO196545 MCK196542:MCK196545 MMG196542:MMG196545 MWC196542:MWC196545 NFY196542:NFY196545 NPU196542:NPU196545 NZQ196542:NZQ196545 OJM196542:OJM196545 OTI196542:OTI196545 PDE196542:PDE196545 PNA196542:PNA196545 PWW196542:PWW196545 QGS196542:QGS196545 QQO196542:QQO196545 RAK196542:RAK196545 RKG196542:RKG196545 RUC196542:RUC196545 SDY196542:SDY196545 SNU196542:SNU196545 SXQ196542:SXQ196545 THM196542:THM196545 TRI196542:TRI196545 UBE196542:UBE196545 ULA196542:ULA196545 UUW196542:UUW196545 VES196542:VES196545 VOO196542:VOO196545 VYK196542:VYK196545 WIG196542:WIG196545 WSC196542:WSC196545 FQ262078:FQ262081 PM262078:PM262081 ZI262078:ZI262081 AJE262078:AJE262081 ATA262078:ATA262081 BCW262078:BCW262081 BMS262078:BMS262081 BWO262078:BWO262081 CGK262078:CGK262081 CQG262078:CQG262081 DAC262078:DAC262081 DJY262078:DJY262081 DTU262078:DTU262081 EDQ262078:EDQ262081 ENM262078:ENM262081 EXI262078:EXI262081 FHE262078:FHE262081 FRA262078:FRA262081 GAW262078:GAW262081 GKS262078:GKS262081 GUO262078:GUO262081 HEK262078:HEK262081 HOG262078:HOG262081 HYC262078:HYC262081 IHY262078:IHY262081 IRU262078:IRU262081 JBQ262078:JBQ262081 JLM262078:JLM262081 JVI262078:JVI262081 KFE262078:KFE262081 KPA262078:KPA262081 KYW262078:KYW262081 LIS262078:LIS262081 LSO262078:LSO262081 MCK262078:MCK262081 MMG262078:MMG262081 MWC262078:MWC262081 NFY262078:NFY262081 NPU262078:NPU262081 NZQ262078:NZQ262081 OJM262078:OJM262081 OTI262078:OTI262081 PDE262078:PDE262081 PNA262078:PNA262081 PWW262078:PWW262081 QGS262078:QGS262081 QQO262078:QQO262081 RAK262078:RAK262081 RKG262078:RKG262081 RUC262078:RUC262081 SDY262078:SDY262081 SNU262078:SNU262081 SXQ262078:SXQ262081 THM262078:THM262081 TRI262078:TRI262081 UBE262078:UBE262081 ULA262078:ULA262081 UUW262078:UUW262081 VES262078:VES262081 VOO262078:VOO262081 VYK262078:VYK262081 WIG262078:WIG262081 WSC262078:WSC262081 FQ327614:FQ327617 PM327614:PM327617 ZI327614:ZI327617 AJE327614:AJE327617 ATA327614:ATA327617 BCW327614:BCW327617 BMS327614:BMS327617 BWO327614:BWO327617 CGK327614:CGK327617 CQG327614:CQG327617 DAC327614:DAC327617 DJY327614:DJY327617 DTU327614:DTU327617 EDQ327614:EDQ327617 ENM327614:ENM327617 EXI327614:EXI327617 FHE327614:FHE327617 FRA327614:FRA327617 GAW327614:GAW327617 GKS327614:GKS327617 GUO327614:GUO327617 HEK327614:HEK327617 HOG327614:HOG327617 HYC327614:HYC327617 IHY327614:IHY327617 IRU327614:IRU327617 JBQ327614:JBQ327617 JLM327614:JLM327617 JVI327614:JVI327617 KFE327614:KFE327617 KPA327614:KPA327617 KYW327614:KYW327617 LIS327614:LIS327617 LSO327614:LSO327617 MCK327614:MCK327617 MMG327614:MMG327617 MWC327614:MWC327617 NFY327614:NFY327617 NPU327614:NPU327617 NZQ327614:NZQ327617 OJM327614:OJM327617 OTI327614:OTI327617 PDE327614:PDE327617 PNA327614:PNA327617 PWW327614:PWW327617 QGS327614:QGS327617 QQO327614:QQO327617 RAK327614:RAK327617 RKG327614:RKG327617 RUC327614:RUC327617 SDY327614:SDY327617 SNU327614:SNU327617 SXQ327614:SXQ327617 THM327614:THM327617 TRI327614:TRI327617 UBE327614:UBE327617 ULA327614:ULA327617 UUW327614:UUW327617 VES327614:VES327617 VOO327614:VOO327617 VYK327614:VYK327617 WIG327614:WIG327617 WSC327614:WSC327617 FQ393150:FQ393153 PM393150:PM393153 ZI393150:ZI393153 AJE393150:AJE393153 ATA393150:ATA393153 BCW393150:BCW393153 BMS393150:BMS393153 BWO393150:BWO393153 CGK393150:CGK393153 CQG393150:CQG393153 DAC393150:DAC393153 DJY393150:DJY393153 DTU393150:DTU393153 EDQ393150:EDQ393153 ENM393150:ENM393153 EXI393150:EXI393153 FHE393150:FHE393153 FRA393150:FRA393153 GAW393150:GAW393153 GKS393150:GKS393153 GUO393150:GUO393153 HEK393150:HEK393153 HOG393150:HOG393153 HYC393150:HYC393153 IHY393150:IHY393153 IRU393150:IRU393153 JBQ393150:JBQ393153 JLM393150:JLM393153 JVI393150:JVI393153 KFE393150:KFE393153 KPA393150:KPA393153 KYW393150:KYW393153 LIS393150:LIS393153 LSO393150:LSO393153 MCK393150:MCK393153 MMG393150:MMG393153 MWC393150:MWC393153 NFY393150:NFY393153 NPU393150:NPU393153 NZQ393150:NZQ393153 OJM393150:OJM393153 OTI393150:OTI393153 PDE393150:PDE393153 PNA393150:PNA393153 PWW393150:PWW393153 QGS393150:QGS393153 QQO393150:QQO393153 RAK393150:RAK393153 RKG393150:RKG393153 RUC393150:RUC393153 SDY393150:SDY393153 SNU393150:SNU393153 SXQ393150:SXQ393153 THM393150:THM393153 TRI393150:TRI393153 UBE393150:UBE393153 ULA393150:ULA393153 UUW393150:UUW393153 VES393150:VES393153 VOO393150:VOO393153 VYK393150:VYK393153 WIG393150:WIG393153 WSC393150:WSC393153 FQ458686:FQ458689 PM458686:PM458689 ZI458686:ZI458689 AJE458686:AJE458689 ATA458686:ATA458689 BCW458686:BCW458689 BMS458686:BMS458689 BWO458686:BWO458689 CGK458686:CGK458689 CQG458686:CQG458689 DAC458686:DAC458689 DJY458686:DJY458689 DTU458686:DTU458689 EDQ458686:EDQ458689 ENM458686:ENM458689 EXI458686:EXI458689 FHE458686:FHE458689 FRA458686:FRA458689 GAW458686:GAW458689 GKS458686:GKS458689 GUO458686:GUO458689 HEK458686:HEK458689 HOG458686:HOG458689 HYC458686:HYC458689 IHY458686:IHY458689 IRU458686:IRU458689 JBQ458686:JBQ458689 JLM458686:JLM458689 JVI458686:JVI458689 KFE458686:KFE458689 KPA458686:KPA458689 KYW458686:KYW458689 LIS458686:LIS458689 LSO458686:LSO458689 MCK458686:MCK458689 MMG458686:MMG458689 MWC458686:MWC458689 NFY458686:NFY458689 NPU458686:NPU458689 NZQ458686:NZQ458689 OJM458686:OJM458689 OTI458686:OTI458689 PDE458686:PDE458689 PNA458686:PNA458689 PWW458686:PWW458689 QGS458686:QGS458689 QQO458686:QQO458689 RAK458686:RAK458689 RKG458686:RKG458689 RUC458686:RUC458689 SDY458686:SDY458689 SNU458686:SNU458689 SXQ458686:SXQ458689 THM458686:THM458689 TRI458686:TRI458689 UBE458686:UBE458689 ULA458686:ULA458689 UUW458686:UUW458689 VES458686:VES458689 VOO458686:VOO458689 VYK458686:VYK458689 WIG458686:WIG458689 WSC458686:WSC458689 FQ524222:FQ524225 PM524222:PM524225 ZI524222:ZI524225 AJE524222:AJE524225 ATA524222:ATA524225 BCW524222:BCW524225 BMS524222:BMS524225 BWO524222:BWO524225 CGK524222:CGK524225 CQG524222:CQG524225 DAC524222:DAC524225 DJY524222:DJY524225 DTU524222:DTU524225 EDQ524222:EDQ524225 ENM524222:ENM524225 EXI524222:EXI524225 FHE524222:FHE524225 FRA524222:FRA524225 GAW524222:GAW524225 GKS524222:GKS524225 GUO524222:GUO524225 HEK524222:HEK524225 HOG524222:HOG524225 HYC524222:HYC524225 IHY524222:IHY524225 IRU524222:IRU524225 JBQ524222:JBQ524225 JLM524222:JLM524225 JVI524222:JVI524225 KFE524222:KFE524225 KPA524222:KPA524225 KYW524222:KYW524225 LIS524222:LIS524225 LSO524222:LSO524225 MCK524222:MCK524225 MMG524222:MMG524225 MWC524222:MWC524225 NFY524222:NFY524225 NPU524222:NPU524225 NZQ524222:NZQ524225 OJM524222:OJM524225 OTI524222:OTI524225 PDE524222:PDE524225 PNA524222:PNA524225 PWW524222:PWW524225 QGS524222:QGS524225 QQO524222:QQO524225 RAK524222:RAK524225 RKG524222:RKG524225 RUC524222:RUC524225 SDY524222:SDY524225 SNU524222:SNU524225 SXQ524222:SXQ524225 THM524222:THM524225 TRI524222:TRI524225 UBE524222:UBE524225 ULA524222:ULA524225 UUW524222:UUW524225 VES524222:VES524225 VOO524222:VOO524225 VYK524222:VYK524225 WIG524222:WIG524225 WSC524222:WSC524225 FQ589758:FQ589761 PM589758:PM589761 ZI589758:ZI589761 AJE589758:AJE589761 ATA589758:ATA589761 BCW589758:BCW589761 BMS589758:BMS589761 BWO589758:BWO589761 CGK589758:CGK589761 CQG589758:CQG589761 DAC589758:DAC589761 DJY589758:DJY589761 DTU589758:DTU589761 EDQ589758:EDQ589761 ENM589758:ENM589761 EXI589758:EXI589761 FHE589758:FHE589761 FRA589758:FRA589761 GAW589758:GAW589761 GKS589758:GKS589761 GUO589758:GUO589761 HEK589758:HEK589761 HOG589758:HOG589761 HYC589758:HYC589761 IHY589758:IHY589761 IRU589758:IRU589761 JBQ589758:JBQ589761 JLM589758:JLM589761 JVI589758:JVI589761 KFE589758:KFE589761 KPA589758:KPA589761 KYW589758:KYW589761 LIS589758:LIS589761 LSO589758:LSO589761 MCK589758:MCK589761 MMG589758:MMG589761 MWC589758:MWC589761 NFY589758:NFY589761 NPU589758:NPU589761 NZQ589758:NZQ589761 OJM589758:OJM589761 OTI589758:OTI589761 PDE589758:PDE589761 PNA589758:PNA589761 PWW589758:PWW589761 QGS589758:QGS589761 QQO589758:QQO589761 RAK589758:RAK589761 RKG589758:RKG589761 RUC589758:RUC589761 SDY589758:SDY589761 SNU589758:SNU589761 SXQ589758:SXQ589761 THM589758:THM589761 TRI589758:TRI589761 UBE589758:UBE589761 ULA589758:ULA589761 UUW589758:UUW589761 VES589758:VES589761 VOO589758:VOO589761 VYK589758:VYK589761 WIG589758:WIG589761 WSC589758:WSC589761 FQ655294:FQ655297 PM655294:PM655297 ZI655294:ZI655297 AJE655294:AJE655297 ATA655294:ATA655297 BCW655294:BCW655297 BMS655294:BMS655297 BWO655294:BWO655297 CGK655294:CGK655297 CQG655294:CQG655297 DAC655294:DAC655297 DJY655294:DJY655297 DTU655294:DTU655297 EDQ655294:EDQ655297 ENM655294:ENM655297 EXI655294:EXI655297 FHE655294:FHE655297 FRA655294:FRA655297 GAW655294:GAW655297 GKS655294:GKS655297 GUO655294:GUO655297 HEK655294:HEK655297 HOG655294:HOG655297 HYC655294:HYC655297 IHY655294:IHY655297 IRU655294:IRU655297 JBQ655294:JBQ655297 JLM655294:JLM655297 JVI655294:JVI655297 KFE655294:KFE655297 KPA655294:KPA655297 KYW655294:KYW655297 LIS655294:LIS655297 LSO655294:LSO655297 MCK655294:MCK655297 MMG655294:MMG655297 MWC655294:MWC655297 NFY655294:NFY655297 NPU655294:NPU655297 NZQ655294:NZQ655297 OJM655294:OJM655297 OTI655294:OTI655297 PDE655294:PDE655297 PNA655294:PNA655297 PWW655294:PWW655297 QGS655294:QGS655297 QQO655294:QQO655297 RAK655294:RAK655297 RKG655294:RKG655297 RUC655294:RUC655297 SDY655294:SDY655297 SNU655294:SNU655297 SXQ655294:SXQ655297 THM655294:THM655297 TRI655294:TRI655297 UBE655294:UBE655297 ULA655294:ULA655297 UUW655294:UUW655297 VES655294:VES655297 VOO655294:VOO655297 VYK655294:VYK655297 WIG655294:WIG655297 WSC655294:WSC655297 FQ720830:FQ720833 PM720830:PM720833 ZI720830:ZI720833 AJE720830:AJE720833 ATA720830:ATA720833 BCW720830:BCW720833 BMS720830:BMS720833 BWO720830:BWO720833 CGK720830:CGK720833 CQG720830:CQG720833 DAC720830:DAC720833 DJY720830:DJY720833 DTU720830:DTU720833 EDQ720830:EDQ720833 ENM720830:ENM720833 EXI720830:EXI720833 FHE720830:FHE720833 FRA720830:FRA720833 GAW720830:GAW720833 GKS720830:GKS720833 GUO720830:GUO720833 HEK720830:HEK720833 HOG720830:HOG720833 HYC720830:HYC720833 IHY720830:IHY720833 IRU720830:IRU720833 JBQ720830:JBQ720833 JLM720830:JLM720833 JVI720830:JVI720833 KFE720830:KFE720833 KPA720830:KPA720833 KYW720830:KYW720833 LIS720830:LIS720833 LSO720830:LSO720833 MCK720830:MCK720833 MMG720830:MMG720833 MWC720830:MWC720833 NFY720830:NFY720833 NPU720830:NPU720833 NZQ720830:NZQ720833 OJM720830:OJM720833 OTI720830:OTI720833 PDE720830:PDE720833 PNA720830:PNA720833 PWW720830:PWW720833 QGS720830:QGS720833 QQO720830:QQO720833 RAK720830:RAK720833 RKG720830:RKG720833 RUC720830:RUC720833 SDY720830:SDY720833 SNU720830:SNU720833 SXQ720830:SXQ720833 THM720830:THM720833 TRI720830:TRI720833 UBE720830:UBE720833 ULA720830:ULA720833 UUW720830:UUW720833 VES720830:VES720833 VOO720830:VOO720833 VYK720830:VYK720833 WIG720830:WIG720833 WSC720830:WSC720833 FQ786366:FQ786369 PM786366:PM786369 ZI786366:ZI786369 AJE786366:AJE786369 ATA786366:ATA786369 BCW786366:BCW786369 BMS786366:BMS786369 BWO786366:BWO786369 CGK786366:CGK786369 CQG786366:CQG786369 DAC786366:DAC786369 DJY786366:DJY786369 DTU786366:DTU786369 EDQ786366:EDQ786369 ENM786366:ENM786369 EXI786366:EXI786369 FHE786366:FHE786369 FRA786366:FRA786369 GAW786366:GAW786369 GKS786366:GKS786369 GUO786366:GUO786369 HEK786366:HEK786369 HOG786366:HOG786369 HYC786366:HYC786369 IHY786366:IHY786369 IRU786366:IRU786369 JBQ786366:JBQ786369 JLM786366:JLM786369 JVI786366:JVI786369 KFE786366:KFE786369 KPA786366:KPA786369 KYW786366:KYW786369 LIS786366:LIS786369 LSO786366:LSO786369 MCK786366:MCK786369 MMG786366:MMG786369 MWC786366:MWC786369 NFY786366:NFY786369 NPU786366:NPU786369 NZQ786366:NZQ786369 OJM786366:OJM786369 OTI786366:OTI786369 PDE786366:PDE786369 PNA786366:PNA786369 PWW786366:PWW786369 QGS786366:QGS786369 QQO786366:QQO786369 RAK786366:RAK786369 RKG786366:RKG786369 RUC786366:RUC786369 SDY786366:SDY786369 SNU786366:SNU786369 SXQ786366:SXQ786369 THM786366:THM786369 TRI786366:TRI786369 UBE786366:UBE786369 ULA786366:ULA786369 UUW786366:UUW786369 VES786366:VES786369 VOO786366:VOO786369 VYK786366:VYK786369 WIG786366:WIG786369 WSC786366:WSC786369 FQ851902:FQ851905 PM851902:PM851905 ZI851902:ZI851905 AJE851902:AJE851905 ATA851902:ATA851905 BCW851902:BCW851905 BMS851902:BMS851905 BWO851902:BWO851905 CGK851902:CGK851905 CQG851902:CQG851905 DAC851902:DAC851905 DJY851902:DJY851905 DTU851902:DTU851905 EDQ851902:EDQ851905 ENM851902:ENM851905 EXI851902:EXI851905 FHE851902:FHE851905 FRA851902:FRA851905 GAW851902:GAW851905 GKS851902:GKS851905 GUO851902:GUO851905 HEK851902:HEK851905 HOG851902:HOG851905 HYC851902:HYC851905 IHY851902:IHY851905 IRU851902:IRU851905 JBQ851902:JBQ851905 JLM851902:JLM851905 JVI851902:JVI851905 KFE851902:KFE851905 KPA851902:KPA851905 KYW851902:KYW851905 LIS851902:LIS851905 LSO851902:LSO851905 MCK851902:MCK851905 MMG851902:MMG851905 MWC851902:MWC851905 NFY851902:NFY851905 NPU851902:NPU851905 NZQ851902:NZQ851905 OJM851902:OJM851905 OTI851902:OTI851905 PDE851902:PDE851905 PNA851902:PNA851905 PWW851902:PWW851905 QGS851902:QGS851905 QQO851902:QQO851905 RAK851902:RAK851905 RKG851902:RKG851905 RUC851902:RUC851905 SDY851902:SDY851905 SNU851902:SNU851905 SXQ851902:SXQ851905 THM851902:THM851905 TRI851902:TRI851905 UBE851902:UBE851905 ULA851902:ULA851905 UUW851902:UUW851905 VES851902:VES851905 VOO851902:VOO851905 VYK851902:VYK851905 WIG851902:WIG851905 WSC851902:WSC851905 FQ917438:FQ917441 PM917438:PM917441 ZI917438:ZI917441 AJE917438:AJE917441 ATA917438:ATA917441 BCW917438:BCW917441 BMS917438:BMS917441 BWO917438:BWO917441 CGK917438:CGK917441 CQG917438:CQG917441 DAC917438:DAC917441 DJY917438:DJY917441 DTU917438:DTU917441 EDQ917438:EDQ917441 ENM917438:ENM917441 EXI917438:EXI917441 FHE917438:FHE917441 FRA917438:FRA917441 GAW917438:GAW917441 GKS917438:GKS917441 GUO917438:GUO917441 HEK917438:HEK917441 HOG917438:HOG917441 HYC917438:HYC917441 IHY917438:IHY917441 IRU917438:IRU917441 JBQ917438:JBQ917441 JLM917438:JLM917441 JVI917438:JVI917441 KFE917438:KFE917441 KPA917438:KPA917441 KYW917438:KYW917441 LIS917438:LIS917441 LSO917438:LSO917441 MCK917438:MCK917441 MMG917438:MMG917441 MWC917438:MWC917441 NFY917438:NFY917441 NPU917438:NPU917441 NZQ917438:NZQ917441 OJM917438:OJM917441 OTI917438:OTI917441 PDE917438:PDE917441 PNA917438:PNA917441 PWW917438:PWW917441 QGS917438:QGS917441 QQO917438:QQO917441 RAK917438:RAK917441 RKG917438:RKG917441 RUC917438:RUC917441 SDY917438:SDY917441 SNU917438:SNU917441 SXQ917438:SXQ917441 THM917438:THM917441 TRI917438:TRI917441 UBE917438:UBE917441 ULA917438:ULA917441 UUW917438:UUW917441 VES917438:VES917441 VOO917438:VOO917441 VYK917438:VYK917441 WIG917438:WIG917441 WSC917438:WSC917441 FQ982974:FQ982977 PM982974:PM982977 ZI982974:ZI982977 AJE982974:AJE982977 ATA982974:ATA982977 BCW982974:BCW982977 BMS982974:BMS982977 BWO982974:BWO982977 CGK982974:CGK982977 CQG982974:CQG982977 DAC982974:DAC982977 DJY982974:DJY982977 DTU982974:DTU982977 EDQ982974:EDQ982977 ENM982974:ENM982977 EXI982974:EXI982977 FHE982974:FHE982977 FRA982974:FRA982977 GAW982974:GAW982977 GKS982974:GKS982977 GUO982974:GUO982977 HEK982974:HEK982977 HOG982974:HOG982977 HYC982974:HYC982977 IHY982974:IHY982977 IRU982974:IRU982977 JBQ982974:JBQ982977 JLM982974:JLM982977 JVI982974:JVI982977 KFE982974:KFE982977 KPA982974:KPA982977 KYW982974:KYW982977 LIS982974:LIS982977 LSO982974:LSO982977 MCK982974:MCK982977 MMG982974:MMG982977 MWC982974:MWC982977 NFY982974:NFY982977 NPU982974:NPU982977 NZQ982974:NZQ982977 OJM982974:OJM982977 OTI982974:OTI982977 PDE982974:PDE982977 PNA982974:PNA982977 PWW982974:PWW982977 QGS982974:QGS982977 QQO982974:QQO982977 RAK982974:RAK982977 RKG982974:RKG982977 RUC982974:RUC982977 SDY982974:SDY982977 SNU982974:SNU982977 SXQ982974:SXQ982977 THM982974:THM982977 TRI982974:TRI982977 UBE982974:UBE982977 ULA982974:ULA982977 UUW982974:UUW982977 VES982974:VES982977 VOO982974:VOO982977 VYK982974:VYK982977 WIG982974:WIG982977 WSC982974:WSC982977 FQ65062:FQ65064 PM65062:PM65064 ZI65062:ZI65064 AJE65062:AJE65064 ATA65062:ATA65064 BCW65062:BCW65064 BMS65062:BMS65064 BWO65062:BWO65064 CGK65062:CGK65064 CQG65062:CQG65064 DAC65062:DAC65064 DJY65062:DJY65064 DTU65062:DTU65064 EDQ65062:EDQ65064 ENM65062:ENM65064 EXI65062:EXI65064 FHE65062:FHE65064 FRA65062:FRA65064 GAW65062:GAW65064 GKS65062:GKS65064 GUO65062:GUO65064 HEK65062:HEK65064 HOG65062:HOG65064 HYC65062:HYC65064 IHY65062:IHY65064 IRU65062:IRU65064 JBQ65062:JBQ65064 JLM65062:JLM65064 JVI65062:JVI65064 KFE65062:KFE65064 KPA65062:KPA65064 KYW65062:KYW65064 LIS65062:LIS65064 LSO65062:LSO65064 MCK65062:MCK65064 MMG65062:MMG65064 MWC65062:MWC65064 NFY65062:NFY65064 NPU65062:NPU65064 NZQ65062:NZQ65064 OJM65062:OJM65064 OTI65062:OTI65064 PDE65062:PDE65064 PNA65062:PNA65064 PWW65062:PWW65064 QGS65062:QGS65064 QQO65062:QQO65064 RAK65062:RAK65064 RKG65062:RKG65064 RUC65062:RUC65064 SDY65062:SDY65064 SNU65062:SNU65064 SXQ65062:SXQ65064 THM65062:THM65064 TRI65062:TRI65064 UBE65062:UBE65064 ULA65062:ULA65064 UUW65062:UUW65064 VES65062:VES65064 VOO65062:VOO65064 VYK65062:VYK65064 WIG65062:WIG65064 WSC65062:WSC65064 FQ130598:FQ130600 PM130598:PM130600 ZI130598:ZI130600 AJE130598:AJE130600 ATA130598:ATA130600 BCW130598:BCW130600 BMS130598:BMS130600 BWO130598:BWO130600 CGK130598:CGK130600 CQG130598:CQG130600 DAC130598:DAC130600 DJY130598:DJY130600 DTU130598:DTU130600 EDQ130598:EDQ130600 ENM130598:ENM130600 EXI130598:EXI130600 FHE130598:FHE130600 FRA130598:FRA130600 GAW130598:GAW130600 GKS130598:GKS130600 GUO130598:GUO130600 HEK130598:HEK130600 HOG130598:HOG130600 HYC130598:HYC130600 IHY130598:IHY130600 IRU130598:IRU130600 JBQ130598:JBQ130600 JLM130598:JLM130600 JVI130598:JVI130600 KFE130598:KFE130600 KPA130598:KPA130600 KYW130598:KYW130600 LIS130598:LIS130600 LSO130598:LSO130600 MCK130598:MCK130600 MMG130598:MMG130600 MWC130598:MWC130600 NFY130598:NFY130600 NPU130598:NPU130600 NZQ130598:NZQ130600 OJM130598:OJM130600 OTI130598:OTI130600 PDE130598:PDE130600 PNA130598:PNA130600 PWW130598:PWW130600 QGS130598:QGS130600 QQO130598:QQO130600 RAK130598:RAK130600 RKG130598:RKG130600 RUC130598:RUC130600 SDY130598:SDY130600 SNU130598:SNU130600 SXQ130598:SXQ130600 THM130598:THM130600 TRI130598:TRI130600 UBE130598:UBE130600 ULA130598:ULA130600 UUW130598:UUW130600 VES130598:VES130600 VOO130598:VOO130600 VYK130598:VYK130600 WIG130598:WIG130600 WSC130598:WSC130600 FQ196134:FQ196136 PM196134:PM196136 ZI196134:ZI196136 AJE196134:AJE196136 ATA196134:ATA196136 BCW196134:BCW196136 BMS196134:BMS196136 BWO196134:BWO196136 CGK196134:CGK196136 CQG196134:CQG196136 DAC196134:DAC196136 DJY196134:DJY196136 DTU196134:DTU196136 EDQ196134:EDQ196136 ENM196134:ENM196136 EXI196134:EXI196136 FHE196134:FHE196136 FRA196134:FRA196136 GAW196134:GAW196136 GKS196134:GKS196136 GUO196134:GUO196136 HEK196134:HEK196136 HOG196134:HOG196136 HYC196134:HYC196136 IHY196134:IHY196136 IRU196134:IRU196136 JBQ196134:JBQ196136 JLM196134:JLM196136 JVI196134:JVI196136 KFE196134:KFE196136 KPA196134:KPA196136 KYW196134:KYW196136 LIS196134:LIS196136 LSO196134:LSO196136 MCK196134:MCK196136 MMG196134:MMG196136 MWC196134:MWC196136 NFY196134:NFY196136 NPU196134:NPU196136 NZQ196134:NZQ196136 OJM196134:OJM196136 OTI196134:OTI196136 PDE196134:PDE196136 PNA196134:PNA196136 PWW196134:PWW196136 QGS196134:QGS196136 QQO196134:QQO196136 RAK196134:RAK196136 RKG196134:RKG196136 RUC196134:RUC196136 SDY196134:SDY196136 SNU196134:SNU196136 SXQ196134:SXQ196136 THM196134:THM196136 TRI196134:TRI196136 UBE196134:UBE196136 ULA196134:ULA196136 UUW196134:UUW196136 VES196134:VES196136 VOO196134:VOO196136 VYK196134:VYK196136 WIG196134:WIG196136 WSC196134:WSC196136 FQ261670:FQ261672 PM261670:PM261672 ZI261670:ZI261672 AJE261670:AJE261672 ATA261670:ATA261672 BCW261670:BCW261672 BMS261670:BMS261672 BWO261670:BWO261672 CGK261670:CGK261672 CQG261670:CQG261672 DAC261670:DAC261672 DJY261670:DJY261672 DTU261670:DTU261672 EDQ261670:EDQ261672 ENM261670:ENM261672 EXI261670:EXI261672 FHE261670:FHE261672 FRA261670:FRA261672 GAW261670:GAW261672 GKS261670:GKS261672 GUO261670:GUO261672 HEK261670:HEK261672 HOG261670:HOG261672 HYC261670:HYC261672 IHY261670:IHY261672 IRU261670:IRU261672 JBQ261670:JBQ261672 JLM261670:JLM261672 JVI261670:JVI261672 KFE261670:KFE261672 KPA261670:KPA261672 KYW261670:KYW261672 LIS261670:LIS261672 LSO261670:LSO261672 MCK261670:MCK261672 MMG261670:MMG261672 MWC261670:MWC261672 NFY261670:NFY261672 NPU261670:NPU261672 NZQ261670:NZQ261672 OJM261670:OJM261672 OTI261670:OTI261672 PDE261670:PDE261672 PNA261670:PNA261672 PWW261670:PWW261672 QGS261670:QGS261672 QQO261670:QQO261672 RAK261670:RAK261672 RKG261670:RKG261672 RUC261670:RUC261672 SDY261670:SDY261672 SNU261670:SNU261672 SXQ261670:SXQ261672 THM261670:THM261672 TRI261670:TRI261672 UBE261670:UBE261672 ULA261670:ULA261672 UUW261670:UUW261672 VES261670:VES261672 VOO261670:VOO261672 VYK261670:VYK261672 WIG261670:WIG261672 WSC261670:WSC261672 FQ327206:FQ327208 PM327206:PM327208 ZI327206:ZI327208 AJE327206:AJE327208 ATA327206:ATA327208 BCW327206:BCW327208 BMS327206:BMS327208 BWO327206:BWO327208 CGK327206:CGK327208 CQG327206:CQG327208 DAC327206:DAC327208 DJY327206:DJY327208 DTU327206:DTU327208 EDQ327206:EDQ327208 ENM327206:ENM327208 EXI327206:EXI327208 FHE327206:FHE327208 FRA327206:FRA327208 GAW327206:GAW327208 GKS327206:GKS327208 GUO327206:GUO327208 HEK327206:HEK327208 HOG327206:HOG327208 HYC327206:HYC327208 IHY327206:IHY327208 IRU327206:IRU327208 JBQ327206:JBQ327208 JLM327206:JLM327208 JVI327206:JVI327208 KFE327206:KFE327208 KPA327206:KPA327208 KYW327206:KYW327208 LIS327206:LIS327208 LSO327206:LSO327208 MCK327206:MCK327208 MMG327206:MMG327208 MWC327206:MWC327208 NFY327206:NFY327208 NPU327206:NPU327208 NZQ327206:NZQ327208 OJM327206:OJM327208 OTI327206:OTI327208 PDE327206:PDE327208 PNA327206:PNA327208 PWW327206:PWW327208 QGS327206:QGS327208 QQO327206:QQO327208 RAK327206:RAK327208 RKG327206:RKG327208 RUC327206:RUC327208 SDY327206:SDY327208 SNU327206:SNU327208 SXQ327206:SXQ327208 THM327206:THM327208 TRI327206:TRI327208 UBE327206:UBE327208 ULA327206:ULA327208 UUW327206:UUW327208 VES327206:VES327208 VOO327206:VOO327208 VYK327206:VYK327208 WIG327206:WIG327208 WSC327206:WSC327208 FQ392742:FQ392744 PM392742:PM392744 ZI392742:ZI392744 AJE392742:AJE392744 ATA392742:ATA392744 BCW392742:BCW392744 BMS392742:BMS392744 BWO392742:BWO392744 CGK392742:CGK392744 CQG392742:CQG392744 DAC392742:DAC392744 DJY392742:DJY392744 DTU392742:DTU392744 EDQ392742:EDQ392744 ENM392742:ENM392744 EXI392742:EXI392744 FHE392742:FHE392744 FRA392742:FRA392744 GAW392742:GAW392744 GKS392742:GKS392744 GUO392742:GUO392744 HEK392742:HEK392744 HOG392742:HOG392744 HYC392742:HYC392744 IHY392742:IHY392744 IRU392742:IRU392744 JBQ392742:JBQ392744 JLM392742:JLM392744 JVI392742:JVI392744 KFE392742:KFE392744 KPA392742:KPA392744 KYW392742:KYW392744 LIS392742:LIS392744 LSO392742:LSO392744 MCK392742:MCK392744 MMG392742:MMG392744 MWC392742:MWC392744 NFY392742:NFY392744 NPU392742:NPU392744 NZQ392742:NZQ392744 OJM392742:OJM392744 OTI392742:OTI392744 PDE392742:PDE392744 PNA392742:PNA392744 PWW392742:PWW392744 QGS392742:QGS392744 QQO392742:QQO392744 RAK392742:RAK392744 RKG392742:RKG392744 RUC392742:RUC392744 SDY392742:SDY392744 SNU392742:SNU392744 SXQ392742:SXQ392744 THM392742:THM392744 TRI392742:TRI392744 UBE392742:UBE392744 ULA392742:ULA392744 UUW392742:UUW392744 VES392742:VES392744 VOO392742:VOO392744 VYK392742:VYK392744 WIG392742:WIG392744 WSC392742:WSC392744 FQ458278:FQ458280 PM458278:PM458280 ZI458278:ZI458280 AJE458278:AJE458280 ATA458278:ATA458280 BCW458278:BCW458280 BMS458278:BMS458280 BWO458278:BWO458280 CGK458278:CGK458280 CQG458278:CQG458280 DAC458278:DAC458280 DJY458278:DJY458280 DTU458278:DTU458280 EDQ458278:EDQ458280 ENM458278:ENM458280 EXI458278:EXI458280 FHE458278:FHE458280 FRA458278:FRA458280 GAW458278:GAW458280 GKS458278:GKS458280 GUO458278:GUO458280 HEK458278:HEK458280 HOG458278:HOG458280 HYC458278:HYC458280 IHY458278:IHY458280 IRU458278:IRU458280 JBQ458278:JBQ458280 JLM458278:JLM458280 JVI458278:JVI458280 KFE458278:KFE458280 KPA458278:KPA458280 KYW458278:KYW458280 LIS458278:LIS458280 LSO458278:LSO458280 MCK458278:MCK458280 MMG458278:MMG458280 MWC458278:MWC458280 NFY458278:NFY458280 NPU458278:NPU458280 NZQ458278:NZQ458280 OJM458278:OJM458280 OTI458278:OTI458280 PDE458278:PDE458280 PNA458278:PNA458280 PWW458278:PWW458280 QGS458278:QGS458280 QQO458278:QQO458280 RAK458278:RAK458280 RKG458278:RKG458280 RUC458278:RUC458280 SDY458278:SDY458280 SNU458278:SNU458280 SXQ458278:SXQ458280 THM458278:THM458280 TRI458278:TRI458280 UBE458278:UBE458280 ULA458278:ULA458280 UUW458278:UUW458280 VES458278:VES458280 VOO458278:VOO458280 VYK458278:VYK458280 WIG458278:WIG458280 WSC458278:WSC458280 FQ523814:FQ523816 PM523814:PM523816 ZI523814:ZI523816 AJE523814:AJE523816 ATA523814:ATA523816 BCW523814:BCW523816 BMS523814:BMS523816 BWO523814:BWO523816 CGK523814:CGK523816 CQG523814:CQG523816 DAC523814:DAC523816 DJY523814:DJY523816 DTU523814:DTU523816 EDQ523814:EDQ523816 ENM523814:ENM523816 EXI523814:EXI523816 FHE523814:FHE523816 FRA523814:FRA523816 GAW523814:GAW523816 GKS523814:GKS523816 GUO523814:GUO523816 HEK523814:HEK523816 HOG523814:HOG523816 HYC523814:HYC523816 IHY523814:IHY523816 IRU523814:IRU523816 JBQ523814:JBQ523816 JLM523814:JLM523816 JVI523814:JVI523816 KFE523814:KFE523816 KPA523814:KPA523816 KYW523814:KYW523816 LIS523814:LIS523816 LSO523814:LSO523816 MCK523814:MCK523816 MMG523814:MMG523816 MWC523814:MWC523816 NFY523814:NFY523816 NPU523814:NPU523816 NZQ523814:NZQ523816 OJM523814:OJM523816 OTI523814:OTI523816 PDE523814:PDE523816 PNA523814:PNA523816 PWW523814:PWW523816 QGS523814:QGS523816 QQO523814:QQO523816 RAK523814:RAK523816 RKG523814:RKG523816 RUC523814:RUC523816 SDY523814:SDY523816 SNU523814:SNU523816 SXQ523814:SXQ523816 THM523814:THM523816 TRI523814:TRI523816 UBE523814:UBE523816 ULA523814:ULA523816 UUW523814:UUW523816 VES523814:VES523816 VOO523814:VOO523816 VYK523814:VYK523816 WIG523814:WIG523816 WSC523814:WSC523816 FQ589350:FQ589352 PM589350:PM589352 ZI589350:ZI589352 AJE589350:AJE589352 ATA589350:ATA589352 BCW589350:BCW589352 BMS589350:BMS589352 BWO589350:BWO589352 CGK589350:CGK589352 CQG589350:CQG589352 DAC589350:DAC589352 DJY589350:DJY589352 DTU589350:DTU589352 EDQ589350:EDQ589352 ENM589350:ENM589352 EXI589350:EXI589352 FHE589350:FHE589352 FRA589350:FRA589352 GAW589350:GAW589352 GKS589350:GKS589352 GUO589350:GUO589352 HEK589350:HEK589352 HOG589350:HOG589352 HYC589350:HYC589352 IHY589350:IHY589352 IRU589350:IRU589352 JBQ589350:JBQ589352 JLM589350:JLM589352 JVI589350:JVI589352 KFE589350:KFE589352 KPA589350:KPA589352 KYW589350:KYW589352 LIS589350:LIS589352 LSO589350:LSO589352 MCK589350:MCK589352 MMG589350:MMG589352 MWC589350:MWC589352 NFY589350:NFY589352 NPU589350:NPU589352 NZQ589350:NZQ589352 OJM589350:OJM589352 OTI589350:OTI589352 PDE589350:PDE589352 PNA589350:PNA589352 PWW589350:PWW589352 QGS589350:QGS589352 QQO589350:QQO589352 RAK589350:RAK589352 RKG589350:RKG589352 RUC589350:RUC589352 SDY589350:SDY589352 SNU589350:SNU589352 SXQ589350:SXQ589352 THM589350:THM589352 TRI589350:TRI589352 UBE589350:UBE589352 ULA589350:ULA589352 UUW589350:UUW589352 VES589350:VES589352 VOO589350:VOO589352 VYK589350:VYK589352 WIG589350:WIG589352 WSC589350:WSC589352 FQ654886:FQ654888 PM654886:PM654888 ZI654886:ZI654888 AJE654886:AJE654888 ATA654886:ATA654888 BCW654886:BCW654888 BMS654886:BMS654888 BWO654886:BWO654888 CGK654886:CGK654888 CQG654886:CQG654888 DAC654886:DAC654888 DJY654886:DJY654888 DTU654886:DTU654888 EDQ654886:EDQ654888 ENM654886:ENM654888 EXI654886:EXI654888 FHE654886:FHE654888 FRA654886:FRA654888 GAW654886:GAW654888 GKS654886:GKS654888 GUO654886:GUO654888 HEK654886:HEK654888 HOG654886:HOG654888 HYC654886:HYC654888 IHY654886:IHY654888 IRU654886:IRU654888 JBQ654886:JBQ654888 JLM654886:JLM654888 JVI654886:JVI654888 KFE654886:KFE654888 KPA654886:KPA654888 KYW654886:KYW654888 LIS654886:LIS654888 LSO654886:LSO654888 MCK654886:MCK654888 MMG654886:MMG654888 MWC654886:MWC654888 NFY654886:NFY654888 NPU654886:NPU654888 NZQ654886:NZQ654888 OJM654886:OJM654888 OTI654886:OTI654888 PDE654886:PDE654888 PNA654886:PNA654888 PWW654886:PWW654888 QGS654886:QGS654888 QQO654886:QQO654888 RAK654886:RAK654888 RKG654886:RKG654888 RUC654886:RUC654888 SDY654886:SDY654888 SNU654886:SNU654888 SXQ654886:SXQ654888 THM654886:THM654888 TRI654886:TRI654888 UBE654886:UBE654888 ULA654886:ULA654888 UUW654886:UUW654888 VES654886:VES654888 VOO654886:VOO654888 VYK654886:VYK654888 WIG654886:WIG654888 WSC654886:WSC654888 FQ720422:FQ720424 PM720422:PM720424 ZI720422:ZI720424 AJE720422:AJE720424 ATA720422:ATA720424 BCW720422:BCW720424 BMS720422:BMS720424 BWO720422:BWO720424 CGK720422:CGK720424 CQG720422:CQG720424 DAC720422:DAC720424 DJY720422:DJY720424 DTU720422:DTU720424 EDQ720422:EDQ720424 ENM720422:ENM720424 EXI720422:EXI720424 FHE720422:FHE720424 FRA720422:FRA720424 GAW720422:GAW720424 GKS720422:GKS720424 GUO720422:GUO720424 HEK720422:HEK720424 HOG720422:HOG720424 HYC720422:HYC720424 IHY720422:IHY720424 IRU720422:IRU720424 JBQ720422:JBQ720424 JLM720422:JLM720424 JVI720422:JVI720424 KFE720422:KFE720424 KPA720422:KPA720424 KYW720422:KYW720424 LIS720422:LIS720424 LSO720422:LSO720424 MCK720422:MCK720424 MMG720422:MMG720424 MWC720422:MWC720424 NFY720422:NFY720424 NPU720422:NPU720424 NZQ720422:NZQ720424 OJM720422:OJM720424 OTI720422:OTI720424 PDE720422:PDE720424 PNA720422:PNA720424 PWW720422:PWW720424 QGS720422:QGS720424 QQO720422:QQO720424 RAK720422:RAK720424 RKG720422:RKG720424 RUC720422:RUC720424 SDY720422:SDY720424 SNU720422:SNU720424 SXQ720422:SXQ720424 THM720422:THM720424 TRI720422:TRI720424 UBE720422:UBE720424 ULA720422:ULA720424 UUW720422:UUW720424 VES720422:VES720424 VOO720422:VOO720424 VYK720422:VYK720424 WIG720422:WIG720424 WSC720422:WSC720424 FQ785958:FQ785960 PM785958:PM785960 ZI785958:ZI785960 AJE785958:AJE785960 ATA785958:ATA785960 BCW785958:BCW785960 BMS785958:BMS785960 BWO785958:BWO785960 CGK785958:CGK785960 CQG785958:CQG785960 DAC785958:DAC785960 DJY785958:DJY785960 DTU785958:DTU785960 EDQ785958:EDQ785960 ENM785958:ENM785960 EXI785958:EXI785960 FHE785958:FHE785960 FRA785958:FRA785960 GAW785958:GAW785960 GKS785958:GKS785960 GUO785958:GUO785960 HEK785958:HEK785960 HOG785958:HOG785960 HYC785958:HYC785960 IHY785958:IHY785960 IRU785958:IRU785960 JBQ785958:JBQ785960 JLM785958:JLM785960 JVI785958:JVI785960 KFE785958:KFE785960 KPA785958:KPA785960 KYW785958:KYW785960 LIS785958:LIS785960 LSO785958:LSO785960 MCK785958:MCK785960 MMG785958:MMG785960 MWC785958:MWC785960 NFY785958:NFY785960 NPU785958:NPU785960 NZQ785958:NZQ785960 OJM785958:OJM785960 OTI785958:OTI785960 PDE785958:PDE785960 PNA785958:PNA785960 PWW785958:PWW785960 QGS785958:QGS785960 QQO785958:QQO785960 RAK785958:RAK785960 RKG785958:RKG785960 RUC785958:RUC785960 SDY785958:SDY785960 SNU785958:SNU785960 SXQ785958:SXQ785960 THM785958:THM785960 TRI785958:TRI785960 UBE785958:UBE785960 ULA785958:ULA785960 UUW785958:UUW785960 VES785958:VES785960 VOO785958:VOO785960 VYK785958:VYK785960 WIG785958:WIG785960 WSC785958:WSC785960 FQ851494:FQ851496 PM851494:PM851496 ZI851494:ZI851496 AJE851494:AJE851496 ATA851494:ATA851496 BCW851494:BCW851496 BMS851494:BMS851496 BWO851494:BWO851496 CGK851494:CGK851496 CQG851494:CQG851496 DAC851494:DAC851496 DJY851494:DJY851496 DTU851494:DTU851496 EDQ851494:EDQ851496 ENM851494:ENM851496 EXI851494:EXI851496 FHE851494:FHE851496 FRA851494:FRA851496 GAW851494:GAW851496 GKS851494:GKS851496 GUO851494:GUO851496 HEK851494:HEK851496 HOG851494:HOG851496 HYC851494:HYC851496 IHY851494:IHY851496 IRU851494:IRU851496 JBQ851494:JBQ851496 JLM851494:JLM851496 JVI851494:JVI851496 KFE851494:KFE851496 KPA851494:KPA851496 KYW851494:KYW851496 LIS851494:LIS851496 LSO851494:LSO851496 MCK851494:MCK851496 MMG851494:MMG851496 MWC851494:MWC851496 NFY851494:NFY851496 NPU851494:NPU851496 NZQ851494:NZQ851496 OJM851494:OJM851496 OTI851494:OTI851496 PDE851494:PDE851496 PNA851494:PNA851496 PWW851494:PWW851496 QGS851494:QGS851496 QQO851494:QQO851496 RAK851494:RAK851496 RKG851494:RKG851496 RUC851494:RUC851496 SDY851494:SDY851496 SNU851494:SNU851496 SXQ851494:SXQ851496 THM851494:THM851496 TRI851494:TRI851496 UBE851494:UBE851496 ULA851494:ULA851496 UUW851494:UUW851496 VES851494:VES851496 VOO851494:VOO851496 VYK851494:VYK851496 WIG851494:WIG851496 WSC851494:WSC851496 FQ917030:FQ917032 PM917030:PM917032 ZI917030:ZI917032 AJE917030:AJE917032 ATA917030:ATA917032 BCW917030:BCW917032 BMS917030:BMS917032 BWO917030:BWO917032 CGK917030:CGK917032 CQG917030:CQG917032 DAC917030:DAC917032 DJY917030:DJY917032 DTU917030:DTU917032 EDQ917030:EDQ917032 ENM917030:ENM917032 EXI917030:EXI917032 FHE917030:FHE917032 FRA917030:FRA917032 GAW917030:GAW917032 GKS917030:GKS917032 GUO917030:GUO917032 HEK917030:HEK917032 HOG917030:HOG917032 HYC917030:HYC917032 IHY917030:IHY917032 IRU917030:IRU917032 JBQ917030:JBQ917032 JLM917030:JLM917032 JVI917030:JVI917032 KFE917030:KFE917032 KPA917030:KPA917032 KYW917030:KYW917032 LIS917030:LIS917032 LSO917030:LSO917032 MCK917030:MCK917032 MMG917030:MMG917032 MWC917030:MWC917032 NFY917030:NFY917032 NPU917030:NPU917032 NZQ917030:NZQ917032 OJM917030:OJM917032 OTI917030:OTI917032 PDE917030:PDE917032 PNA917030:PNA917032 PWW917030:PWW917032 QGS917030:QGS917032 QQO917030:QQO917032 RAK917030:RAK917032 RKG917030:RKG917032 RUC917030:RUC917032 SDY917030:SDY917032 SNU917030:SNU917032 SXQ917030:SXQ917032 THM917030:THM917032 TRI917030:TRI917032 UBE917030:UBE917032 ULA917030:ULA917032 UUW917030:UUW917032 VES917030:VES917032 VOO917030:VOO917032 VYK917030:VYK917032 WIG917030:WIG917032 WSC917030:WSC917032 FQ982566:FQ982568 PM982566:PM982568 ZI982566:ZI982568 AJE982566:AJE982568 ATA982566:ATA982568 BCW982566:BCW982568 BMS982566:BMS982568 BWO982566:BWO982568 CGK982566:CGK982568 CQG982566:CQG982568 DAC982566:DAC982568 DJY982566:DJY982568 DTU982566:DTU982568 EDQ982566:EDQ982568 ENM982566:ENM982568 EXI982566:EXI982568 FHE982566:FHE982568 FRA982566:FRA982568 GAW982566:GAW982568 GKS982566:GKS982568 GUO982566:GUO982568 HEK982566:HEK982568 HOG982566:HOG982568 HYC982566:HYC982568 IHY982566:IHY982568 IRU982566:IRU982568 JBQ982566:JBQ982568 JLM982566:JLM982568 JVI982566:JVI982568 KFE982566:KFE982568 KPA982566:KPA982568 KYW982566:KYW982568 LIS982566:LIS982568 LSO982566:LSO982568 MCK982566:MCK982568 MMG982566:MMG982568 MWC982566:MWC982568 NFY982566:NFY982568 NPU982566:NPU982568 NZQ982566:NZQ982568 OJM982566:OJM982568 OTI982566:OTI982568 PDE982566:PDE982568 PNA982566:PNA982568 PWW982566:PWW982568 QGS982566:QGS982568 QQO982566:QQO982568 RAK982566:RAK982568 RKG982566:RKG982568 RUC982566:RUC982568 SDY982566:SDY982568 SNU982566:SNU982568 SXQ982566:SXQ982568 THM982566:THM982568 TRI982566:TRI982568 UBE982566:UBE982568 ULA982566:ULA982568 UUW982566:UUW982568 VES982566:VES982568 VOO982566:VOO982568 VYK982566:VYK982568 WIG982566:WIG982568 WSC982566:WSC982568 EW65062:EW65064 OS65062:OS65064 YO65062:YO65064 AIK65062:AIK65064 ASG65062:ASG65064 BCC65062:BCC65064 BLY65062:BLY65064 BVU65062:BVU65064 CFQ65062:CFQ65064 CPM65062:CPM65064 CZI65062:CZI65064 DJE65062:DJE65064 DTA65062:DTA65064 ECW65062:ECW65064 EMS65062:EMS65064 EWO65062:EWO65064 FGK65062:FGK65064 FQG65062:FQG65064 GAC65062:GAC65064 GJY65062:GJY65064 GTU65062:GTU65064 HDQ65062:HDQ65064 HNM65062:HNM65064 HXI65062:HXI65064 IHE65062:IHE65064 IRA65062:IRA65064 JAW65062:JAW65064 JKS65062:JKS65064 JUO65062:JUO65064 KEK65062:KEK65064 KOG65062:KOG65064 KYC65062:KYC65064 LHY65062:LHY65064 LRU65062:LRU65064 MBQ65062:MBQ65064 MLM65062:MLM65064 MVI65062:MVI65064 NFE65062:NFE65064 NPA65062:NPA65064 NYW65062:NYW65064 OIS65062:OIS65064 OSO65062:OSO65064 PCK65062:PCK65064 PMG65062:PMG65064 PWC65062:PWC65064 QFY65062:QFY65064 QPU65062:QPU65064 QZQ65062:QZQ65064 RJM65062:RJM65064 RTI65062:RTI65064 SDE65062:SDE65064 SNA65062:SNA65064 SWW65062:SWW65064 TGS65062:TGS65064 TQO65062:TQO65064 UAK65062:UAK65064 UKG65062:UKG65064 UUC65062:UUC65064 VDY65062:VDY65064 VNU65062:VNU65064 VXQ65062:VXQ65064 WHM65062:WHM65064 WRI65062:WRI65064 EW130598:EW130600 OS130598:OS130600 YO130598:YO130600 AIK130598:AIK130600 ASG130598:ASG130600 BCC130598:BCC130600 BLY130598:BLY130600 BVU130598:BVU130600 CFQ130598:CFQ130600 CPM130598:CPM130600 CZI130598:CZI130600 DJE130598:DJE130600 DTA130598:DTA130600 ECW130598:ECW130600 EMS130598:EMS130600 EWO130598:EWO130600 FGK130598:FGK130600 FQG130598:FQG130600 GAC130598:GAC130600 GJY130598:GJY130600 GTU130598:GTU130600 HDQ130598:HDQ130600 HNM130598:HNM130600 HXI130598:HXI130600 IHE130598:IHE130600 IRA130598:IRA130600 JAW130598:JAW130600 JKS130598:JKS130600 JUO130598:JUO130600 KEK130598:KEK130600 KOG130598:KOG130600 KYC130598:KYC130600 LHY130598:LHY130600 LRU130598:LRU130600 MBQ130598:MBQ130600 MLM130598:MLM130600 MVI130598:MVI130600 NFE130598:NFE130600 NPA130598:NPA130600 NYW130598:NYW130600 OIS130598:OIS130600 OSO130598:OSO130600 PCK130598:PCK130600 PMG130598:PMG130600 PWC130598:PWC130600 QFY130598:QFY130600 QPU130598:QPU130600 QZQ130598:QZQ130600 RJM130598:RJM130600 RTI130598:RTI130600 SDE130598:SDE130600 SNA130598:SNA130600 SWW130598:SWW130600 TGS130598:TGS130600 TQO130598:TQO130600 UAK130598:UAK130600 UKG130598:UKG130600 UUC130598:UUC130600 VDY130598:VDY130600 VNU130598:VNU130600 VXQ130598:VXQ130600 WHM130598:WHM130600 WRI130598:WRI130600 EW196134:EW196136 OS196134:OS196136 YO196134:YO196136 AIK196134:AIK196136 ASG196134:ASG196136 BCC196134:BCC196136 BLY196134:BLY196136 BVU196134:BVU196136 CFQ196134:CFQ196136 CPM196134:CPM196136 CZI196134:CZI196136 DJE196134:DJE196136 DTA196134:DTA196136 ECW196134:ECW196136 EMS196134:EMS196136 EWO196134:EWO196136 FGK196134:FGK196136 FQG196134:FQG196136 GAC196134:GAC196136 GJY196134:GJY196136 GTU196134:GTU196136 HDQ196134:HDQ196136 HNM196134:HNM196136 HXI196134:HXI196136 IHE196134:IHE196136 IRA196134:IRA196136 JAW196134:JAW196136 JKS196134:JKS196136 JUO196134:JUO196136 KEK196134:KEK196136 KOG196134:KOG196136 KYC196134:KYC196136 LHY196134:LHY196136 LRU196134:LRU196136 MBQ196134:MBQ196136 MLM196134:MLM196136 MVI196134:MVI196136 NFE196134:NFE196136 NPA196134:NPA196136 NYW196134:NYW196136 OIS196134:OIS196136 OSO196134:OSO196136 PCK196134:PCK196136 PMG196134:PMG196136 PWC196134:PWC196136 QFY196134:QFY196136 QPU196134:QPU196136 QZQ196134:QZQ196136 RJM196134:RJM196136 RTI196134:RTI196136 SDE196134:SDE196136 SNA196134:SNA196136 SWW196134:SWW196136 TGS196134:TGS196136 TQO196134:TQO196136 UAK196134:UAK196136 UKG196134:UKG196136 UUC196134:UUC196136 VDY196134:VDY196136 VNU196134:VNU196136 VXQ196134:VXQ196136 WHM196134:WHM196136 WRI196134:WRI196136 EW261670:EW261672 OS261670:OS261672 YO261670:YO261672 AIK261670:AIK261672 ASG261670:ASG261672 BCC261670:BCC261672 BLY261670:BLY261672 BVU261670:BVU261672 CFQ261670:CFQ261672 CPM261670:CPM261672 CZI261670:CZI261672 DJE261670:DJE261672 DTA261670:DTA261672 ECW261670:ECW261672 EMS261670:EMS261672 EWO261670:EWO261672 FGK261670:FGK261672 FQG261670:FQG261672 GAC261670:GAC261672 GJY261670:GJY261672 GTU261670:GTU261672 HDQ261670:HDQ261672 HNM261670:HNM261672 HXI261670:HXI261672 IHE261670:IHE261672 IRA261670:IRA261672 JAW261670:JAW261672 JKS261670:JKS261672 JUO261670:JUO261672 KEK261670:KEK261672 KOG261670:KOG261672 KYC261670:KYC261672 LHY261670:LHY261672 LRU261670:LRU261672 MBQ261670:MBQ261672 MLM261670:MLM261672 MVI261670:MVI261672 NFE261670:NFE261672 NPA261670:NPA261672 NYW261670:NYW261672 OIS261670:OIS261672 OSO261670:OSO261672 PCK261670:PCK261672 PMG261670:PMG261672 PWC261670:PWC261672 QFY261670:QFY261672 QPU261670:QPU261672 QZQ261670:QZQ261672 RJM261670:RJM261672 RTI261670:RTI261672 SDE261670:SDE261672 SNA261670:SNA261672 SWW261670:SWW261672 TGS261670:TGS261672 TQO261670:TQO261672 UAK261670:UAK261672 UKG261670:UKG261672 UUC261670:UUC261672 VDY261670:VDY261672 VNU261670:VNU261672 VXQ261670:VXQ261672 WHM261670:WHM261672 WRI261670:WRI261672 EW327206:EW327208 OS327206:OS327208 YO327206:YO327208 AIK327206:AIK327208 ASG327206:ASG327208 BCC327206:BCC327208 BLY327206:BLY327208 BVU327206:BVU327208 CFQ327206:CFQ327208 CPM327206:CPM327208 CZI327206:CZI327208 DJE327206:DJE327208 DTA327206:DTA327208 ECW327206:ECW327208 EMS327206:EMS327208 EWO327206:EWO327208 FGK327206:FGK327208 FQG327206:FQG327208 GAC327206:GAC327208 GJY327206:GJY327208 GTU327206:GTU327208 HDQ327206:HDQ327208 HNM327206:HNM327208 HXI327206:HXI327208 IHE327206:IHE327208 IRA327206:IRA327208 JAW327206:JAW327208 JKS327206:JKS327208 JUO327206:JUO327208 KEK327206:KEK327208 KOG327206:KOG327208 KYC327206:KYC327208 LHY327206:LHY327208 LRU327206:LRU327208 MBQ327206:MBQ327208 MLM327206:MLM327208 MVI327206:MVI327208 NFE327206:NFE327208 NPA327206:NPA327208 NYW327206:NYW327208 OIS327206:OIS327208 OSO327206:OSO327208 PCK327206:PCK327208 PMG327206:PMG327208 PWC327206:PWC327208 QFY327206:QFY327208 QPU327206:QPU327208 QZQ327206:QZQ327208 RJM327206:RJM327208 RTI327206:RTI327208 SDE327206:SDE327208 SNA327206:SNA327208 SWW327206:SWW327208 TGS327206:TGS327208 TQO327206:TQO327208 UAK327206:UAK327208 UKG327206:UKG327208 UUC327206:UUC327208 VDY327206:VDY327208 VNU327206:VNU327208 VXQ327206:VXQ327208 WHM327206:WHM327208 WRI327206:WRI327208 EW392742:EW392744 OS392742:OS392744 YO392742:YO392744 AIK392742:AIK392744 ASG392742:ASG392744 BCC392742:BCC392744 BLY392742:BLY392744 BVU392742:BVU392744 CFQ392742:CFQ392744 CPM392742:CPM392744 CZI392742:CZI392744 DJE392742:DJE392744 DTA392742:DTA392744 ECW392742:ECW392744 EMS392742:EMS392744 EWO392742:EWO392744 FGK392742:FGK392744 FQG392742:FQG392744 GAC392742:GAC392744 GJY392742:GJY392744 GTU392742:GTU392744 HDQ392742:HDQ392744 HNM392742:HNM392744 HXI392742:HXI392744 IHE392742:IHE392744 IRA392742:IRA392744 JAW392742:JAW392744 JKS392742:JKS392744 JUO392742:JUO392744 KEK392742:KEK392744 KOG392742:KOG392744 KYC392742:KYC392744 LHY392742:LHY392744 LRU392742:LRU392744 MBQ392742:MBQ392744 MLM392742:MLM392744 MVI392742:MVI392744 NFE392742:NFE392744 NPA392742:NPA392744 NYW392742:NYW392744 OIS392742:OIS392744 OSO392742:OSO392744 PCK392742:PCK392744 PMG392742:PMG392744 PWC392742:PWC392744 QFY392742:QFY392744 QPU392742:QPU392744 QZQ392742:QZQ392744 RJM392742:RJM392744 RTI392742:RTI392744 SDE392742:SDE392744 SNA392742:SNA392744 SWW392742:SWW392744 TGS392742:TGS392744 TQO392742:TQO392744 UAK392742:UAK392744 UKG392742:UKG392744 UUC392742:UUC392744 VDY392742:VDY392744 VNU392742:VNU392744 VXQ392742:VXQ392744 WHM392742:WHM392744 WRI392742:WRI392744 EW458278:EW458280 OS458278:OS458280 YO458278:YO458280 AIK458278:AIK458280 ASG458278:ASG458280 BCC458278:BCC458280 BLY458278:BLY458280 BVU458278:BVU458280 CFQ458278:CFQ458280 CPM458278:CPM458280 CZI458278:CZI458280 DJE458278:DJE458280 DTA458278:DTA458280 ECW458278:ECW458280 EMS458278:EMS458280 EWO458278:EWO458280 FGK458278:FGK458280 FQG458278:FQG458280 GAC458278:GAC458280 GJY458278:GJY458280 GTU458278:GTU458280 HDQ458278:HDQ458280 HNM458278:HNM458280 HXI458278:HXI458280 IHE458278:IHE458280 IRA458278:IRA458280 JAW458278:JAW458280 JKS458278:JKS458280 JUO458278:JUO458280 KEK458278:KEK458280 KOG458278:KOG458280 KYC458278:KYC458280 LHY458278:LHY458280 LRU458278:LRU458280 MBQ458278:MBQ458280 MLM458278:MLM458280 MVI458278:MVI458280 NFE458278:NFE458280 NPA458278:NPA458280 NYW458278:NYW458280 OIS458278:OIS458280 OSO458278:OSO458280 PCK458278:PCK458280 PMG458278:PMG458280 PWC458278:PWC458280 QFY458278:QFY458280 QPU458278:QPU458280 QZQ458278:QZQ458280 RJM458278:RJM458280 RTI458278:RTI458280 SDE458278:SDE458280 SNA458278:SNA458280 SWW458278:SWW458280 TGS458278:TGS458280 TQO458278:TQO458280 UAK458278:UAK458280 UKG458278:UKG458280 UUC458278:UUC458280 VDY458278:VDY458280 VNU458278:VNU458280 VXQ458278:VXQ458280 WHM458278:WHM458280 WRI458278:WRI458280 EW523814:EW523816 OS523814:OS523816 YO523814:YO523816 AIK523814:AIK523816 ASG523814:ASG523816 BCC523814:BCC523816 BLY523814:BLY523816 BVU523814:BVU523816 CFQ523814:CFQ523816 CPM523814:CPM523816 CZI523814:CZI523816 DJE523814:DJE523816 DTA523814:DTA523816 ECW523814:ECW523816 EMS523814:EMS523816 EWO523814:EWO523816 FGK523814:FGK523816 FQG523814:FQG523816 GAC523814:GAC523816 GJY523814:GJY523816 GTU523814:GTU523816 HDQ523814:HDQ523816 HNM523814:HNM523816 HXI523814:HXI523816 IHE523814:IHE523816 IRA523814:IRA523816 JAW523814:JAW523816 JKS523814:JKS523816 JUO523814:JUO523816 KEK523814:KEK523816 KOG523814:KOG523816 KYC523814:KYC523816 LHY523814:LHY523816 LRU523814:LRU523816 MBQ523814:MBQ523816 MLM523814:MLM523816 MVI523814:MVI523816 NFE523814:NFE523816 NPA523814:NPA523816 NYW523814:NYW523816 OIS523814:OIS523816 OSO523814:OSO523816 PCK523814:PCK523816 PMG523814:PMG523816 PWC523814:PWC523816 QFY523814:QFY523816 QPU523814:QPU523816 QZQ523814:QZQ523816 RJM523814:RJM523816 RTI523814:RTI523816 SDE523814:SDE523816 SNA523814:SNA523816 SWW523814:SWW523816 TGS523814:TGS523816 TQO523814:TQO523816 UAK523814:UAK523816 UKG523814:UKG523816 UUC523814:UUC523816 VDY523814:VDY523816 VNU523814:VNU523816 VXQ523814:VXQ523816 WHM523814:WHM523816 WRI523814:WRI523816 EW589350:EW589352 OS589350:OS589352 YO589350:YO589352 AIK589350:AIK589352 ASG589350:ASG589352 BCC589350:BCC589352 BLY589350:BLY589352 BVU589350:BVU589352 CFQ589350:CFQ589352 CPM589350:CPM589352 CZI589350:CZI589352 DJE589350:DJE589352 DTA589350:DTA589352 ECW589350:ECW589352 EMS589350:EMS589352 EWO589350:EWO589352 FGK589350:FGK589352 FQG589350:FQG589352 GAC589350:GAC589352 GJY589350:GJY589352 GTU589350:GTU589352 HDQ589350:HDQ589352 HNM589350:HNM589352 HXI589350:HXI589352 IHE589350:IHE589352 IRA589350:IRA589352 JAW589350:JAW589352 JKS589350:JKS589352 JUO589350:JUO589352 KEK589350:KEK589352 KOG589350:KOG589352 KYC589350:KYC589352 LHY589350:LHY589352 LRU589350:LRU589352 MBQ589350:MBQ589352 MLM589350:MLM589352 MVI589350:MVI589352 NFE589350:NFE589352 NPA589350:NPA589352 NYW589350:NYW589352 OIS589350:OIS589352 OSO589350:OSO589352 PCK589350:PCK589352 PMG589350:PMG589352 PWC589350:PWC589352 QFY589350:QFY589352 QPU589350:QPU589352 QZQ589350:QZQ589352 RJM589350:RJM589352 RTI589350:RTI589352 SDE589350:SDE589352 SNA589350:SNA589352 SWW589350:SWW589352 TGS589350:TGS589352 TQO589350:TQO589352 UAK589350:UAK589352 UKG589350:UKG589352 UUC589350:UUC589352 VDY589350:VDY589352 VNU589350:VNU589352 VXQ589350:VXQ589352 WHM589350:WHM589352 WRI589350:WRI589352 EW654886:EW654888 OS654886:OS654888 YO654886:YO654888 AIK654886:AIK654888 ASG654886:ASG654888 BCC654886:BCC654888 BLY654886:BLY654888 BVU654886:BVU654888 CFQ654886:CFQ654888 CPM654886:CPM654888 CZI654886:CZI654888 DJE654886:DJE654888 DTA654886:DTA654888 ECW654886:ECW654888 EMS654886:EMS654888 EWO654886:EWO654888 FGK654886:FGK654888 FQG654886:FQG654888 GAC654886:GAC654888 GJY654886:GJY654888 GTU654886:GTU654888 HDQ654886:HDQ654888 HNM654886:HNM654888 HXI654886:HXI654888 IHE654886:IHE654888 IRA654886:IRA654888 JAW654886:JAW654888 JKS654886:JKS654888 JUO654886:JUO654888 KEK654886:KEK654888 KOG654886:KOG654888 KYC654886:KYC654888 LHY654886:LHY654888 LRU654886:LRU654888 MBQ654886:MBQ654888 MLM654886:MLM654888 MVI654886:MVI654888 NFE654886:NFE654888 NPA654886:NPA654888 NYW654886:NYW654888 OIS654886:OIS654888 OSO654886:OSO654888 PCK654886:PCK654888 PMG654886:PMG654888 PWC654886:PWC654888 QFY654886:QFY654888 QPU654886:QPU654888 QZQ654886:QZQ654888 RJM654886:RJM654888 RTI654886:RTI654888 SDE654886:SDE654888 SNA654886:SNA654888 SWW654886:SWW654888 TGS654886:TGS654888 TQO654886:TQO654888 UAK654886:UAK654888 UKG654886:UKG654888 UUC654886:UUC654888 VDY654886:VDY654888 VNU654886:VNU654888 VXQ654886:VXQ654888 WHM654886:WHM654888 WRI654886:WRI654888 EW720422:EW720424 OS720422:OS720424 YO720422:YO720424 AIK720422:AIK720424 ASG720422:ASG720424 BCC720422:BCC720424 BLY720422:BLY720424 BVU720422:BVU720424 CFQ720422:CFQ720424 CPM720422:CPM720424 CZI720422:CZI720424 DJE720422:DJE720424 DTA720422:DTA720424 ECW720422:ECW720424 EMS720422:EMS720424 EWO720422:EWO720424 FGK720422:FGK720424 FQG720422:FQG720424 GAC720422:GAC720424 GJY720422:GJY720424 GTU720422:GTU720424 HDQ720422:HDQ720424 HNM720422:HNM720424 HXI720422:HXI720424 IHE720422:IHE720424 IRA720422:IRA720424 JAW720422:JAW720424 JKS720422:JKS720424 JUO720422:JUO720424 KEK720422:KEK720424 KOG720422:KOG720424 KYC720422:KYC720424 LHY720422:LHY720424 LRU720422:LRU720424 MBQ720422:MBQ720424 MLM720422:MLM720424 MVI720422:MVI720424 NFE720422:NFE720424 NPA720422:NPA720424 NYW720422:NYW720424 OIS720422:OIS720424 OSO720422:OSO720424 PCK720422:PCK720424 PMG720422:PMG720424 PWC720422:PWC720424 QFY720422:QFY720424 QPU720422:QPU720424 QZQ720422:QZQ720424 RJM720422:RJM720424 RTI720422:RTI720424 SDE720422:SDE720424 SNA720422:SNA720424 SWW720422:SWW720424 TGS720422:TGS720424 TQO720422:TQO720424 UAK720422:UAK720424 UKG720422:UKG720424 UUC720422:UUC720424 VDY720422:VDY720424 VNU720422:VNU720424 VXQ720422:VXQ720424 WHM720422:WHM720424 WRI720422:WRI720424 EW785958:EW785960 OS785958:OS785960 YO785958:YO785960 AIK785958:AIK785960 ASG785958:ASG785960 BCC785958:BCC785960 BLY785958:BLY785960 BVU785958:BVU785960 CFQ785958:CFQ785960 CPM785958:CPM785960 CZI785958:CZI785960 DJE785958:DJE785960 DTA785958:DTA785960 ECW785958:ECW785960 EMS785958:EMS785960 EWO785958:EWO785960 FGK785958:FGK785960 FQG785958:FQG785960 GAC785958:GAC785960 GJY785958:GJY785960 GTU785958:GTU785960 HDQ785958:HDQ785960 HNM785958:HNM785960 HXI785958:HXI785960 IHE785958:IHE785960 IRA785958:IRA785960 JAW785958:JAW785960 JKS785958:JKS785960 JUO785958:JUO785960 KEK785958:KEK785960 KOG785958:KOG785960 KYC785958:KYC785960 LHY785958:LHY785960 LRU785958:LRU785960 MBQ785958:MBQ785960 MLM785958:MLM785960 MVI785958:MVI785960 NFE785958:NFE785960 NPA785958:NPA785960 NYW785958:NYW785960 OIS785958:OIS785960 OSO785958:OSO785960 PCK785958:PCK785960 PMG785958:PMG785960 PWC785958:PWC785960 QFY785958:QFY785960 QPU785958:QPU785960 QZQ785958:QZQ785960 RJM785958:RJM785960 RTI785958:RTI785960 SDE785958:SDE785960 SNA785958:SNA785960 SWW785958:SWW785960 TGS785958:TGS785960 TQO785958:TQO785960 UAK785958:UAK785960 UKG785958:UKG785960 UUC785958:UUC785960 VDY785958:VDY785960 VNU785958:VNU785960 VXQ785958:VXQ785960 WHM785958:WHM785960 WRI785958:WRI785960 EW851494:EW851496 OS851494:OS851496 YO851494:YO851496 AIK851494:AIK851496 ASG851494:ASG851496 BCC851494:BCC851496 BLY851494:BLY851496 BVU851494:BVU851496 CFQ851494:CFQ851496 CPM851494:CPM851496 CZI851494:CZI851496 DJE851494:DJE851496 DTA851494:DTA851496 ECW851494:ECW851496 EMS851494:EMS851496 EWO851494:EWO851496 FGK851494:FGK851496 FQG851494:FQG851496 GAC851494:GAC851496 GJY851494:GJY851496 GTU851494:GTU851496 HDQ851494:HDQ851496 HNM851494:HNM851496 HXI851494:HXI851496 IHE851494:IHE851496 IRA851494:IRA851496 JAW851494:JAW851496 JKS851494:JKS851496 JUO851494:JUO851496 KEK851494:KEK851496 KOG851494:KOG851496 KYC851494:KYC851496 LHY851494:LHY851496 LRU851494:LRU851496 MBQ851494:MBQ851496 MLM851494:MLM851496 MVI851494:MVI851496 NFE851494:NFE851496 NPA851494:NPA851496 NYW851494:NYW851496 OIS851494:OIS851496 OSO851494:OSO851496 PCK851494:PCK851496 PMG851494:PMG851496 PWC851494:PWC851496 QFY851494:QFY851496 QPU851494:QPU851496 QZQ851494:QZQ851496 RJM851494:RJM851496 RTI851494:RTI851496 SDE851494:SDE851496 SNA851494:SNA851496 SWW851494:SWW851496 TGS851494:TGS851496 TQO851494:TQO851496 UAK851494:UAK851496 UKG851494:UKG851496 UUC851494:UUC851496 VDY851494:VDY851496 VNU851494:VNU851496 VXQ851494:VXQ851496 WHM851494:WHM851496 WRI851494:WRI851496 EW917030:EW917032 OS917030:OS917032 YO917030:YO917032 AIK917030:AIK917032 ASG917030:ASG917032 BCC917030:BCC917032 BLY917030:BLY917032 BVU917030:BVU917032 CFQ917030:CFQ917032 CPM917030:CPM917032 CZI917030:CZI917032 DJE917030:DJE917032 DTA917030:DTA917032 ECW917030:ECW917032 EMS917030:EMS917032 EWO917030:EWO917032 FGK917030:FGK917032 FQG917030:FQG917032 GAC917030:GAC917032 GJY917030:GJY917032 GTU917030:GTU917032 HDQ917030:HDQ917032 HNM917030:HNM917032 HXI917030:HXI917032 IHE917030:IHE917032 IRA917030:IRA917032 JAW917030:JAW917032 JKS917030:JKS917032 JUO917030:JUO917032 KEK917030:KEK917032 KOG917030:KOG917032 KYC917030:KYC917032 LHY917030:LHY917032 LRU917030:LRU917032 MBQ917030:MBQ917032 MLM917030:MLM917032 MVI917030:MVI917032 NFE917030:NFE917032 NPA917030:NPA917032 NYW917030:NYW917032 OIS917030:OIS917032 OSO917030:OSO917032 PCK917030:PCK917032 PMG917030:PMG917032 PWC917030:PWC917032 QFY917030:QFY917032 QPU917030:QPU917032 QZQ917030:QZQ917032 RJM917030:RJM917032 RTI917030:RTI917032 SDE917030:SDE917032 SNA917030:SNA917032 SWW917030:SWW917032 TGS917030:TGS917032 TQO917030:TQO917032 UAK917030:UAK917032 UKG917030:UKG917032 UUC917030:UUC917032 VDY917030:VDY917032 VNU917030:VNU917032 VXQ917030:VXQ917032 WHM917030:WHM917032 WRI917030:WRI917032 EW982566:EW982568 OS982566:OS982568 YO982566:YO982568 AIK982566:AIK982568 ASG982566:ASG982568 BCC982566:BCC982568 BLY982566:BLY982568 BVU982566:BVU982568 CFQ982566:CFQ982568 CPM982566:CPM982568 CZI982566:CZI982568 DJE982566:DJE982568 DTA982566:DTA982568 ECW982566:ECW982568 EMS982566:EMS982568 EWO982566:EWO982568 FGK982566:FGK982568 FQG982566:FQG982568 GAC982566:GAC982568 GJY982566:GJY982568 GTU982566:GTU982568 HDQ982566:HDQ982568 HNM982566:HNM982568 HXI982566:HXI982568 IHE982566:IHE982568 IRA982566:IRA982568 JAW982566:JAW982568 JKS982566:JKS982568 JUO982566:JUO982568 KEK982566:KEK982568 KOG982566:KOG982568 KYC982566:KYC982568 LHY982566:LHY982568 LRU982566:LRU982568 MBQ982566:MBQ982568 MLM982566:MLM982568 MVI982566:MVI982568 NFE982566:NFE982568 NPA982566:NPA982568 NYW982566:NYW982568 OIS982566:OIS982568 OSO982566:OSO982568 PCK982566:PCK982568 PMG982566:PMG982568 PWC982566:PWC982568 QFY982566:QFY982568 QPU982566:QPU982568 QZQ982566:QZQ982568 RJM982566:RJM982568 RTI982566:RTI982568 SDE982566:SDE982568 SNA982566:SNA982568 SWW982566:SWW982568 TGS982566:TGS982568 TQO982566:TQO982568 UAK982566:UAK982568 UKG982566:UKG982568 UUC982566:UUC982568 VDY982566:VDY982568 VNU982566:VNU982568 VXQ982566:VXQ982568 WHM982566:WHM982568 WRI982566:WRI982568">
      <formula1>#REF!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Shahid</dc:creator>
  <cp:lastModifiedBy>Mohamed Shahid</cp:lastModifiedBy>
  <dcterms:created xsi:type="dcterms:W3CDTF">2024-03-13T04:07:09Z</dcterms:created>
  <dcterms:modified xsi:type="dcterms:W3CDTF">2024-03-13T05:06:13Z</dcterms:modified>
</cp:coreProperties>
</file>